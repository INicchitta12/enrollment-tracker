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icchitta\Documents\Projects\Enrollment Tracking\project\data\"/>
    </mc:Choice>
  </mc:AlternateContent>
  <xr:revisionPtr revIDLastSave="0" documentId="13_ncr:1_{F42CCC4A-64CB-4D65-8DF8-D273176EBD5B}" xr6:coauthVersionLast="47" xr6:coauthVersionMax="47" xr10:uidLastSave="{00000000-0000-0000-0000-000000000000}"/>
  <bookViews>
    <workbookView xWindow="-28920" yWindow="-120" windowWidth="29040" windowHeight="15840" activeTab="2" xr2:uid="{ABF58F20-35C5-4B4F-8D44-F14F003A923B}"/>
  </bookViews>
  <sheets>
    <sheet name="Mcaid" sheetId="1" r:id="rId1"/>
    <sheet name="Mcaid Peak Baseline" sheetId="6" r:id="rId2"/>
    <sheet name="CHIP" sheetId="7" r:id="rId3"/>
    <sheet name="CHIP Peak Baseline" sheetId="8" r:id="rId4"/>
    <sheet name="BHP" sheetId="2" r:id="rId5"/>
    <sheet name="Marketplace" sheetId="3" r:id="rId6"/>
    <sheet name="Marketplace (2)" sheetId="5" r:id="rId7"/>
    <sheet name="Marketplace Feb. Effec. Enroll" sheetId="4" r:id="rId8"/>
  </sheets>
  <definedNames>
    <definedName name="_xlnm._FilterDatabase" localSheetId="5" hidden="1">Marketplace!$A$1:$A$313</definedName>
    <definedName name="_xlnm._FilterDatabase" localSheetId="6" hidden="1">'Marketplace (2)'!$A$1:$A$313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1" i="7" l="1"/>
  <c r="E261" i="7"/>
  <c r="E209" i="7"/>
  <c r="E157" i="7"/>
  <c r="D105" i="7"/>
  <c r="E105" i="7"/>
  <c r="E53" i="7"/>
  <c r="D53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" i="7"/>
  <c r="D53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3" i="8"/>
  <c r="D4" i="8"/>
  <c r="D2" i="8"/>
  <c r="E53" i="8"/>
  <c r="C261" i="7"/>
  <c r="C53" i="8"/>
  <c r="C209" i="7"/>
  <c r="C157" i="7"/>
  <c r="C105" i="7"/>
  <c r="C53" i="7"/>
  <c r="C53" i="6"/>
  <c r="K261" i="1"/>
  <c r="O261" i="1"/>
  <c r="O260" i="1"/>
  <c r="O208" i="1"/>
  <c r="P261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10" i="1"/>
  <c r="O209" i="1"/>
  <c r="N261" i="1"/>
  <c r="M261" i="1"/>
  <c r="M44" i="1"/>
  <c r="M208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L261" i="1"/>
  <c r="K215" i="1"/>
  <c r="K207" i="1"/>
  <c r="J261" i="1"/>
  <c r="I261" i="1"/>
  <c r="H261" i="1"/>
  <c r="G261" i="1"/>
  <c r="F261" i="1"/>
  <c r="E261" i="1"/>
  <c r="C261" i="1"/>
  <c r="K211" i="1"/>
  <c r="K212" i="1"/>
  <c r="K213" i="1"/>
  <c r="K214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10" i="1"/>
  <c r="D261" i="1"/>
  <c r="H209" i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J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L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" i="1"/>
  <c r="P209" i="1"/>
  <c r="F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J157" i="1"/>
  <c r="M157" i="1"/>
  <c r="F157" i="1"/>
  <c r="K157" i="1" s="1"/>
  <c r="G157" i="1"/>
  <c r="D157" i="1"/>
  <c r="D105" i="1"/>
  <c r="D53" i="1"/>
  <c r="P105" i="1"/>
  <c r="N105" i="1"/>
  <c r="F105" i="1"/>
  <c r="G105" i="1"/>
  <c r="J105" i="1"/>
  <c r="L105" i="1"/>
  <c r="M105" i="1" s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L53" i="1"/>
  <c r="M53" i="1" s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K53" i="1" l="1"/>
  <c r="O53" i="1"/>
  <c r="O105" i="1"/>
  <c r="O157" i="1"/>
  <c r="M209" i="1"/>
  <c r="K105" i="1"/>
  <c r="K209" i="1"/>
</calcChain>
</file>

<file path=xl/sharedStrings.xml><?xml version="1.0" encoding="utf-8"?>
<sst xmlns="http://schemas.openxmlformats.org/spreadsheetml/2006/main" count="2602" uniqueCount="157">
  <si>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</si>
  <si>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</si>
  <si>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</si>
  <si>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</si>
  <si>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</si>
  <si>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</si>
  <si>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</si>
  <si>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</si>
  <si>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</si>
  <si>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</si>
  <si>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</si>
  <si>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</si>
  <si>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</si>
  <si>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</si>
  <si>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</si>
  <si>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</si>
  <si>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</si>
  <si>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</si>
  <si>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</si>
  <si>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</si>
  <si>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</si>
  <si>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</si>
  <si>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</si>
  <si>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</si>
  <si>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</si>
  <si>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</si>
  <si>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</si>
  <si>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</si>
  <si>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</si>
  <si>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</si>
  <si>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</si>
  <si>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</si>
  <si>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</si>
  <si>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</si>
  <si>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</si>
  <si>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</si>
  <si>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</si>
  <si>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</si>
  <si>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</si>
  <si>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</si>
  <si>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</si>
  <si>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</si>
  <si>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</si>
  <si>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</si>
  <si>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</si>
  <si>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</si>
  <si>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</si>
  <si>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</si>
  <si>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</si>
  <si>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</si>
  <si>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</si>
  <si>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</si>
  <si>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</si>
  <si>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</si>
  <si>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</si>
  <si>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</si>
  <si>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</si>
  <si>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</si>
  <si>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</si>
  <si>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</si>
  <si>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</si>
  <si>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</si>
  <si>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</si>
  <si>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</si>
  <si>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</si>
  <si>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</si>
  <si>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</si>
  <si>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</si>
  <si>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</si>
  <si>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</si>
  <si>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</si>
  <si>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</si>
  <si>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</si>
  <si>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</si>
  <si>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</si>
  <si>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</si>
  <si>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</si>
  <si>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</si>
  <si>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</si>
  <si>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</si>
  <si>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</si>
  <si>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</si>
  <si>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</si>
  <si>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</si>
  <si>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</si>
  <si>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</si>
  <si>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</si>
  <si>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</si>
  <si>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</si>
  <si>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</si>
  <si>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</si>
  <si>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</si>
  <si>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</si>
  <si>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</si>
  <si>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</si>
  <si>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</si>
  <si>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</si>
  <si>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</si>
  <si>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</si>
  <si>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</si>
  <si>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</si>
  <si>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</si>
  <si>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</si>
  <si>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</si>
  <si>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</si>
  <si>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</si>
  <si>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</si>
  <si>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</si>
  <si>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</si>
  <si>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</si>
  <si>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</si>
  <si>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</si>
  <si>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</si>
  <si>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</si>
  <si>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</si>
  <si>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</si>
  <si>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</si>
  <si>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</si>
  <si>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</si>
  <si>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</si>
  <si>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</si>
  <si>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</si>
  <si>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</si>
  <si>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</si>
  <si>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</si>
  <si>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</si>
  <si>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</si>
  <si>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</si>
  <si>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</si>
  <si>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</si>
  <si>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</si>
  <si>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</si>
  <si>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</si>
  <si>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</si>
  <si>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</si>
  <si>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</si>
  <si>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</si>
  <si>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</si>
  <si>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</si>
  <si>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</si>
  <si>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</si>
  <si>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</si>
  <si>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</si>
  <si>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</si>
  <si>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</si>
  <si>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</si>
  <si>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</si>
  <si>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</si>
  <si>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</si>
  <si>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</si>
  <si>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</si>
  <si>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</si>
  <si>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</si>
  <si>
    <t>Total CHIP Enrollment</t>
  </si>
  <si>
    <t>Medicaid and CHIP Child Enrollment</t>
  </si>
  <si>
    <t>Medicaid Child Enrollment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</si>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</sst>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  <xf numFmtId="9" fontId="2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261"/>
  <sheetViews>
    <sheetView topLeftCell="A4" workbookViewId="0">
      <selection activeCell="B261" sqref="B261"/>
    </sheetView>
  </sheetViews>
  <sheetFormatPr defaultRowHeight="14.5" x14ac:dyDescent="0.35"/>
  <cols>
    <col min="1" max="1" width="18.7265625" bestFit="1" customWidth="1"/>
    <col min="2" max="2" width="16.26953125" bestFit="1" customWidth="1"/>
    <col min="3" max="3" width="24.81640625" bestFit="1" customWidth="1"/>
    <col min="4" max="4" width="30.26953125" bestFit="1" customWidth="1"/>
    <col min="5" max="5" width="35.54296875" bestFit="1" customWidth="1"/>
    <col min="6" max="6" width="31.54296875" bestFit="1" customWidth="1"/>
    <col min="7" max="7" width="49.26953125" bestFit="1" customWidth="1"/>
    <col min="8" max="8" width="61.54296875" bestFit="1" customWidth="1"/>
    <col min="9" max="9" width="66.7265625" bestFit="1" customWidth="1"/>
    <col min="10" max="10" width="41.453125" bestFit="1" customWidth="1"/>
    <col min="11" max="11" width="17.453125" bestFit="1" customWidth="1"/>
    <col min="12" max="12" width="44.453125" bestFit="1" customWidth="1"/>
    <col min="13" max="13" width="15.1796875" bestFit="1" customWidth="1"/>
    <col min="14" max="14" width="57" bestFit="1" customWidth="1"/>
    <col min="15" max="15" width="16.453125" bestFit="1" customWidth="1"/>
    <col min="16" max="16" width="35.26953125" bestFit="1" customWidth="1"/>
  </cols>
  <sheetData>
    <row r="1" spans="1:16" s="1" customFormat="1" x14ac:dyDescent="0.35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x14ac:dyDescent="0.35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x14ac:dyDescent="0.35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x14ac:dyDescent="0.35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x14ac:dyDescent="0.35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x14ac:dyDescent="0.35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x14ac:dyDescent="0.35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x14ac:dyDescent="0.35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x14ac:dyDescent="0.35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x14ac:dyDescent="0.35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x14ac:dyDescent="0.35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x14ac:dyDescent="0.35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x14ac:dyDescent="0.35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x14ac:dyDescent="0.35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x14ac:dyDescent="0.35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x14ac:dyDescent="0.35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x14ac:dyDescent="0.35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x14ac:dyDescent="0.35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x14ac:dyDescent="0.35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x14ac:dyDescent="0.35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x14ac:dyDescent="0.35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x14ac:dyDescent="0.35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x14ac:dyDescent="0.35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x14ac:dyDescent="0.35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x14ac:dyDescent="0.35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x14ac:dyDescent="0.35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x14ac:dyDescent="0.35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x14ac:dyDescent="0.35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x14ac:dyDescent="0.35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x14ac:dyDescent="0.35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x14ac:dyDescent="0.35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x14ac:dyDescent="0.35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x14ac:dyDescent="0.35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x14ac:dyDescent="0.35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x14ac:dyDescent="0.35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x14ac:dyDescent="0.35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x14ac:dyDescent="0.35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x14ac:dyDescent="0.35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x14ac:dyDescent="0.35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x14ac:dyDescent="0.35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x14ac:dyDescent="0.35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x14ac:dyDescent="0.35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x14ac:dyDescent="0.35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x14ac:dyDescent="0.35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>L44/J44</f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x14ac:dyDescent="0.35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x14ac:dyDescent="0.35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x14ac:dyDescent="0.35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x14ac:dyDescent="0.35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x14ac:dyDescent="0.35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x14ac:dyDescent="0.35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x14ac:dyDescent="0.35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x14ac:dyDescent="0.35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x14ac:dyDescent="0.35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x14ac:dyDescent="0.35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x14ac:dyDescent="0.35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x14ac:dyDescent="0.35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x14ac:dyDescent="0.35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x14ac:dyDescent="0.35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x14ac:dyDescent="0.35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x14ac:dyDescent="0.35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x14ac:dyDescent="0.35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x14ac:dyDescent="0.35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x14ac:dyDescent="0.35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x14ac:dyDescent="0.35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x14ac:dyDescent="0.35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x14ac:dyDescent="0.35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x14ac:dyDescent="0.35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x14ac:dyDescent="0.35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x14ac:dyDescent="0.35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x14ac:dyDescent="0.35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x14ac:dyDescent="0.35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x14ac:dyDescent="0.35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x14ac:dyDescent="0.35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x14ac:dyDescent="0.35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x14ac:dyDescent="0.35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x14ac:dyDescent="0.35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x14ac:dyDescent="0.35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x14ac:dyDescent="0.35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x14ac:dyDescent="0.35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x14ac:dyDescent="0.35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x14ac:dyDescent="0.35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x14ac:dyDescent="0.35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x14ac:dyDescent="0.35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x14ac:dyDescent="0.35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x14ac:dyDescent="0.35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x14ac:dyDescent="0.35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x14ac:dyDescent="0.35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x14ac:dyDescent="0.35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x14ac:dyDescent="0.35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x14ac:dyDescent="0.35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x14ac:dyDescent="0.35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x14ac:dyDescent="0.35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x14ac:dyDescent="0.35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x14ac:dyDescent="0.35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x14ac:dyDescent="0.35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x14ac:dyDescent="0.35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x14ac:dyDescent="0.35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x14ac:dyDescent="0.35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x14ac:dyDescent="0.35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x14ac:dyDescent="0.35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x14ac:dyDescent="0.35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x14ac:dyDescent="0.35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x14ac:dyDescent="0.35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x14ac:dyDescent="0.35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x14ac:dyDescent="0.35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x14ac:dyDescent="0.35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x14ac:dyDescent="0.35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x14ac:dyDescent="0.35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x14ac:dyDescent="0.35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x14ac:dyDescent="0.35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x14ac:dyDescent="0.35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x14ac:dyDescent="0.35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x14ac:dyDescent="0.35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x14ac:dyDescent="0.35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x14ac:dyDescent="0.35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x14ac:dyDescent="0.35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x14ac:dyDescent="0.35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x14ac:dyDescent="0.35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x14ac:dyDescent="0.35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x14ac:dyDescent="0.35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x14ac:dyDescent="0.35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x14ac:dyDescent="0.35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x14ac:dyDescent="0.35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x14ac:dyDescent="0.35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x14ac:dyDescent="0.35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x14ac:dyDescent="0.35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x14ac:dyDescent="0.35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x14ac:dyDescent="0.35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x14ac:dyDescent="0.35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x14ac:dyDescent="0.35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x14ac:dyDescent="0.35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x14ac:dyDescent="0.35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x14ac:dyDescent="0.35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x14ac:dyDescent="0.35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x14ac:dyDescent="0.35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x14ac:dyDescent="0.35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x14ac:dyDescent="0.35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x14ac:dyDescent="0.35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x14ac:dyDescent="0.35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x14ac:dyDescent="0.35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x14ac:dyDescent="0.35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x14ac:dyDescent="0.35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x14ac:dyDescent="0.35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x14ac:dyDescent="0.35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x14ac:dyDescent="0.35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x14ac:dyDescent="0.35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x14ac:dyDescent="0.35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x14ac:dyDescent="0.35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x14ac:dyDescent="0.35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x14ac:dyDescent="0.35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x14ac:dyDescent="0.35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x14ac:dyDescent="0.35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x14ac:dyDescent="0.35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x14ac:dyDescent="0.35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x14ac:dyDescent="0.35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x14ac:dyDescent="0.35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x14ac:dyDescent="0.35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x14ac:dyDescent="0.35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7" si="15">L158/J158</f>
        <v>0.27803987216557602</v>
      </c>
      <c r="N158">
        <v>4744</v>
      </c>
      <c r="O158" s="11">
        <f t="shared" ref="O158:O207" si="16">N158/J158</f>
        <v>0.72196012783442398</v>
      </c>
      <c r="P158">
        <v>3966</v>
      </c>
    </row>
    <row r="159" spans="1:16" x14ac:dyDescent="0.35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6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x14ac:dyDescent="0.35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x14ac:dyDescent="0.35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x14ac:dyDescent="0.35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x14ac:dyDescent="0.35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x14ac:dyDescent="0.35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x14ac:dyDescent="0.35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x14ac:dyDescent="0.35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x14ac:dyDescent="0.35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x14ac:dyDescent="0.35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x14ac:dyDescent="0.35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x14ac:dyDescent="0.35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x14ac:dyDescent="0.35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x14ac:dyDescent="0.35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x14ac:dyDescent="0.35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x14ac:dyDescent="0.35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x14ac:dyDescent="0.35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x14ac:dyDescent="0.35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x14ac:dyDescent="0.35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x14ac:dyDescent="0.35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x14ac:dyDescent="0.35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x14ac:dyDescent="0.35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x14ac:dyDescent="0.35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x14ac:dyDescent="0.35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x14ac:dyDescent="0.35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x14ac:dyDescent="0.35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x14ac:dyDescent="0.35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x14ac:dyDescent="0.35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x14ac:dyDescent="0.35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x14ac:dyDescent="0.35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x14ac:dyDescent="0.35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x14ac:dyDescent="0.35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x14ac:dyDescent="0.35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x14ac:dyDescent="0.35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x14ac:dyDescent="0.35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x14ac:dyDescent="0.35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x14ac:dyDescent="0.35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x14ac:dyDescent="0.35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x14ac:dyDescent="0.35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x14ac:dyDescent="0.35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x14ac:dyDescent="0.35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x14ac:dyDescent="0.35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x14ac:dyDescent="0.35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x14ac:dyDescent="0.35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x14ac:dyDescent="0.35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x14ac:dyDescent="0.35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x14ac:dyDescent="0.35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x14ac:dyDescent="0.35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x14ac:dyDescent="0.35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>J207/F207</f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x14ac:dyDescent="0.35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>L208/J208</f>
        <v>0.89090909090909087</v>
      </c>
      <c r="N208">
        <v>30</v>
      </c>
      <c r="O208" s="11">
        <f>N208/J208</f>
        <v>0.10909090909090909</v>
      </c>
      <c r="P208">
        <v>526</v>
      </c>
    </row>
    <row r="209" spans="1:16" s="1" customFormat="1" x14ac:dyDescent="0.35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  <row r="210" spans="1:16" x14ac:dyDescent="0.35">
      <c r="A210" t="s">
        <v>0</v>
      </c>
      <c r="B210" s="3">
        <v>46113</v>
      </c>
      <c r="C210">
        <v>195934</v>
      </c>
      <c r="D210">
        <v>124115</v>
      </c>
      <c r="E210">
        <v>29128</v>
      </c>
      <c r="F210">
        <v>17318</v>
      </c>
      <c r="G210">
        <v>7704</v>
      </c>
      <c r="H210">
        <v>4719</v>
      </c>
      <c r="I210">
        <v>2985</v>
      </c>
      <c r="J210">
        <v>6050</v>
      </c>
      <c r="K210" s="4">
        <f>J210/F210</f>
        <v>0.34934749971128304</v>
      </c>
      <c r="L210">
        <v>1814</v>
      </c>
      <c r="M210" s="11">
        <f t="shared" ref="M210:M260" si="21">L210/J210</f>
        <v>0.29983471074380164</v>
      </c>
      <c r="N210">
        <v>4236</v>
      </c>
      <c r="O210" s="11">
        <f>N210/J210</f>
        <v>0.70016528925619836</v>
      </c>
      <c r="P210">
        <v>3564</v>
      </c>
    </row>
    <row r="211" spans="1:16" x14ac:dyDescent="0.35">
      <c r="A211" t="s">
        <v>1</v>
      </c>
      <c r="B211" s="3">
        <v>46113</v>
      </c>
      <c r="C211">
        <v>736452</v>
      </c>
      <c r="D211">
        <v>263760</v>
      </c>
      <c r="E211">
        <v>105959</v>
      </c>
      <c r="F211">
        <v>201219</v>
      </c>
      <c r="G211">
        <v>155405</v>
      </c>
      <c r="H211">
        <v>41404</v>
      </c>
      <c r="I211">
        <v>114001</v>
      </c>
      <c r="J211">
        <v>42256</v>
      </c>
      <c r="K211" s="4">
        <f t="shared" ref="K211:K260" si="22">J211/F211</f>
        <v>0.21000004969709621</v>
      </c>
      <c r="L211">
        <v>16635</v>
      </c>
      <c r="M211" s="11">
        <f t="shared" si="21"/>
        <v>0.3936719045815979</v>
      </c>
      <c r="N211">
        <v>25621</v>
      </c>
      <c r="O211" s="11">
        <f t="shared" ref="O211:O259" si="23">N211/J211</f>
        <v>0.60632809541840216</v>
      </c>
      <c r="P211">
        <v>3558</v>
      </c>
    </row>
    <row r="212" spans="1:16" x14ac:dyDescent="0.35">
      <c r="A212" t="s">
        <v>2</v>
      </c>
      <c r="B212" s="3">
        <v>46113</v>
      </c>
      <c r="C212">
        <v>712971</v>
      </c>
      <c r="D212">
        <v>392597</v>
      </c>
      <c r="E212">
        <v>54660</v>
      </c>
      <c r="F212">
        <v>56883</v>
      </c>
      <c r="G212">
        <v>47032</v>
      </c>
      <c r="H212">
        <v>40551</v>
      </c>
      <c r="I212">
        <v>6481</v>
      </c>
      <c r="J212">
        <v>9725</v>
      </c>
      <c r="K212" s="4">
        <f t="shared" si="22"/>
        <v>0.17096496317001564</v>
      </c>
      <c r="L212">
        <v>2594</v>
      </c>
      <c r="M212" s="11">
        <f t="shared" si="21"/>
        <v>0.26673521850899745</v>
      </c>
      <c r="N212">
        <v>7131</v>
      </c>
      <c r="O212" s="11">
        <f t="shared" si="23"/>
        <v>0.7332647814910026</v>
      </c>
      <c r="P212">
        <v>126</v>
      </c>
    </row>
    <row r="213" spans="1:16" x14ac:dyDescent="0.35">
      <c r="A213" t="s">
        <v>3</v>
      </c>
      <c r="B213" s="3">
        <v>46113</v>
      </c>
      <c r="C213">
        <v>1524695</v>
      </c>
      <c r="D213">
        <v>921021</v>
      </c>
      <c r="E213">
        <v>98805</v>
      </c>
      <c r="F213">
        <v>151629</v>
      </c>
      <c r="G213">
        <v>115039</v>
      </c>
      <c r="H213">
        <v>104097</v>
      </c>
      <c r="I213">
        <v>10942</v>
      </c>
      <c r="J213">
        <v>29569</v>
      </c>
      <c r="K213" s="4">
        <f t="shared" si="22"/>
        <v>0.19500887033483041</v>
      </c>
      <c r="L213">
        <v>8539</v>
      </c>
      <c r="M213" s="11">
        <f t="shared" si="21"/>
        <v>0.28878217051641925</v>
      </c>
      <c r="N213">
        <v>21030</v>
      </c>
      <c r="O213" s="11">
        <f t="shared" si="23"/>
        <v>0.71121782948358081</v>
      </c>
      <c r="P213">
        <v>7021</v>
      </c>
    </row>
    <row r="214" spans="1:16" x14ac:dyDescent="0.35">
      <c r="A214" t="s">
        <v>4</v>
      </c>
      <c r="B214" s="3">
        <v>46113</v>
      </c>
      <c r="C214">
        <v>10577595</v>
      </c>
      <c r="D214">
        <v>7339565</v>
      </c>
      <c r="E214">
        <v>1029874</v>
      </c>
      <c r="F214">
        <v>948297</v>
      </c>
      <c r="G214">
        <v>544333</v>
      </c>
      <c r="H214">
        <v>402331</v>
      </c>
      <c r="I214">
        <v>142002</v>
      </c>
      <c r="J214">
        <v>201127</v>
      </c>
      <c r="K214" s="4">
        <f t="shared" si="22"/>
        <v>0.21209283589423988</v>
      </c>
      <c r="L214">
        <v>15641</v>
      </c>
      <c r="M214" s="11">
        <f t="shared" si="21"/>
        <v>7.7766784171195313E-2</v>
      </c>
      <c r="N214">
        <v>185486</v>
      </c>
      <c r="O214" s="11">
        <f t="shared" si="23"/>
        <v>0.92223321582880469</v>
      </c>
      <c r="P214">
        <v>202837</v>
      </c>
    </row>
    <row r="215" spans="1:16" x14ac:dyDescent="0.35">
      <c r="A215" t="s">
        <v>5</v>
      </c>
      <c r="B215" s="3">
        <v>46113</v>
      </c>
      <c r="C215">
        <v>1054146</v>
      </c>
      <c r="D215">
        <v>665600</v>
      </c>
      <c r="E215">
        <v>85937</v>
      </c>
      <c r="F215">
        <v>92499</v>
      </c>
      <c r="G215">
        <v>71411</v>
      </c>
      <c r="H215">
        <v>52953</v>
      </c>
      <c r="I215">
        <v>18458</v>
      </c>
      <c r="J215">
        <v>19100</v>
      </c>
      <c r="K215" s="4">
        <f>J215/F215</f>
        <v>0.20648871879695996</v>
      </c>
      <c r="L215">
        <v>7602</v>
      </c>
      <c r="M215" s="11">
        <f t="shared" si="21"/>
        <v>0.39801047120418848</v>
      </c>
      <c r="N215">
        <v>11498</v>
      </c>
      <c r="O215" s="11">
        <f t="shared" si="23"/>
        <v>0.60198952879581147</v>
      </c>
      <c r="P215">
        <v>1988</v>
      </c>
    </row>
    <row r="216" spans="1:16" x14ac:dyDescent="0.35">
      <c r="A216" t="s">
        <v>6</v>
      </c>
      <c r="B216" s="3">
        <v>46113</v>
      </c>
      <c r="C216">
        <v>874182</v>
      </c>
      <c r="D216">
        <v>536733</v>
      </c>
      <c r="E216">
        <v>87434</v>
      </c>
      <c r="F216">
        <v>78137</v>
      </c>
      <c r="G216">
        <v>67464</v>
      </c>
      <c r="H216">
        <v>63959</v>
      </c>
      <c r="I216">
        <v>3505</v>
      </c>
      <c r="J216">
        <v>7041</v>
      </c>
      <c r="K216" s="4">
        <f t="shared" si="22"/>
        <v>9.0110958956704248E-2</v>
      </c>
      <c r="L216">
        <v>4054</v>
      </c>
      <c r="M216" s="11">
        <f t="shared" si="21"/>
        <v>0.57577048714671208</v>
      </c>
      <c r="N216">
        <v>2987</v>
      </c>
      <c r="O216" s="11">
        <f t="shared" si="23"/>
        <v>0.42422951285328786</v>
      </c>
      <c r="P216">
        <v>3632</v>
      </c>
    </row>
    <row r="217" spans="1:16" x14ac:dyDescent="0.35">
      <c r="A217" t="s">
        <v>7</v>
      </c>
      <c r="B217" s="3">
        <v>46113</v>
      </c>
      <c r="C217">
        <v>222823</v>
      </c>
      <c r="D217">
        <v>145732</v>
      </c>
      <c r="E217">
        <v>13251</v>
      </c>
      <c r="F217">
        <v>16604</v>
      </c>
      <c r="G217">
        <v>12950</v>
      </c>
      <c r="H217">
        <v>12023</v>
      </c>
      <c r="I217">
        <v>927</v>
      </c>
      <c r="J217">
        <v>2225</v>
      </c>
      <c r="K217" s="4">
        <f t="shared" si="22"/>
        <v>0.13400385449289329</v>
      </c>
      <c r="L217">
        <v>144</v>
      </c>
      <c r="M217" s="11">
        <f t="shared" si="21"/>
        <v>6.471910112359551E-2</v>
      </c>
      <c r="N217">
        <v>2081</v>
      </c>
      <c r="O217" s="11">
        <f t="shared" si="23"/>
        <v>0.93528089887640453</v>
      </c>
      <c r="P217">
        <v>1429</v>
      </c>
    </row>
    <row r="218" spans="1:16" x14ac:dyDescent="0.35">
      <c r="A218" t="s">
        <v>8</v>
      </c>
      <c r="B218" s="3">
        <v>46113</v>
      </c>
      <c r="C218">
        <v>222987</v>
      </c>
      <c r="D218">
        <v>132138</v>
      </c>
      <c r="E218">
        <v>16265</v>
      </c>
      <c r="F218">
        <v>20186</v>
      </c>
      <c r="G218">
        <v>13859</v>
      </c>
      <c r="H218">
        <v>8739</v>
      </c>
      <c r="I218">
        <v>5120</v>
      </c>
      <c r="J218">
        <v>6080</v>
      </c>
      <c r="K218" s="4">
        <f t="shared" si="22"/>
        <v>0.30119885068859603</v>
      </c>
      <c r="L218">
        <v>2046</v>
      </c>
      <c r="M218" s="11">
        <f t="shared" si="21"/>
        <v>0.33651315789473685</v>
      </c>
      <c r="N218">
        <v>4034</v>
      </c>
      <c r="O218" s="11">
        <f t="shared" si="23"/>
        <v>0.66348684210526321</v>
      </c>
      <c r="P218">
        <v>247</v>
      </c>
    </row>
    <row r="219" spans="1:16" x14ac:dyDescent="0.35">
      <c r="A219" t="s">
        <v>9</v>
      </c>
      <c r="B219" s="3">
        <v>46113</v>
      </c>
      <c r="C219">
        <v>3400007</v>
      </c>
      <c r="D219">
        <v>1276906</v>
      </c>
      <c r="E219">
        <v>172329</v>
      </c>
      <c r="F219">
        <v>176275</v>
      </c>
      <c r="G219">
        <v>117025</v>
      </c>
      <c r="H219">
        <v>38476</v>
      </c>
      <c r="I219">
        <v>78549</v>
      </c>
      <c r="J219">
        <v>34099</v>
      </c>
      <c r="K219" s="4">
        <f t="shared" si="22"/>
        <v>0.19344206495532548</v>
      </c>
      <c r="L219">
        <v>14610</v>
      </c>
      <c r="M219" s="11">
        <f t="shared" si="21"/>
        <v>0.42845831256048567</v>
      </c>
      <c r="N219">
        <v>19489</v>
      </c>
      <c r="O219" s="11">
        <f t="shared" si="23"/>
        <v>0.57154168743951439</v>
      </c>
      <c r="P219">
        <v>25151</v>
      </c>
    </row>
    <row r="220" spans="1:16" x14ac:dyDescent="0.35">
      <c r="A220" t="s">
        <v>10</v>
      </c>
      <c r="B220" s="3">
        <v>46113</v>
      </c>
      <c r="C220">
        <v>1662466</v>
      </c>
      <c r="D220">
        <v>547604</v>
      </c>
      <c r="E220">
        <v>122553</v>
      </c>
      <c r="F220">
        <v>239136</v>
      </c>
      <c r="G220">
        <v>148780</v>
      </c>
      <c r="H220">
        <v>115648</v>
      </c>
      <c r="I220">
        <v>33132</v>
      </c>
      <c r="J220">
        <v>61951</v>
      </c>
      <c r="K220" s="4">
        <f t="shared" si="22"/>
        <v>0.25906178910745348</v>
      </c>
      <c r="L220">
        <v>23978</v>
      </c>
      <c r="M220" s="11">
        <f t="shared" si="21"/>
        <v>0.38704782812222566</v>
      </c>
      <c r="N220">
        <v>37973</v>
      </c>
      <c r="O220" s="11">
        <f t="shared" si="23"/>
        <v>0.6129521718777744</v>
      </c>
      <c r="P220">
        <v>28405</v>
      </c>
    </row>
    <row r="221" spans="1:16" x14ac:dyDescent="0.35">
      <c r="A221" t="s">
        <v>11</v>
      </c>
      <c r="B221" s="3">
        <v>46113</v>
      </c>
      <c r="C221">
        <v>366500</v>
      </c>
      <c r="D221">
        <v>237680</v>
      </c>
      <c r="E221">
        <v>39124</v>
      </c>
      <c r="F221">
        <v>26046</v>
      </c>
      <c r="G221">
        <v>22161</v>
      </c>
      <c r="H221">
        <v>18323</v>
      </c>
      <c r="I221">
        <v>3838</v>
      </c>
      <c r="J221">
        <v>3117</v>
      </c>
      <c r="K221" s="4">
        <f t="shared" si="22"/>
        <v>0.11967288643169777</v>
      </c>
      <c r="L221">
        <v>590</v>
      </c>
      <c r="M221" s="11">
        <f t="shared" si="21"/>
        <v>0.18928456849534808</v>
      </c>
      <c r="N221">
        <v>2527</v>
      </c>
      <c r="O221" s="11">
        <f t="shared" si="23"/>
        <v>0.81071543150465186</v>
      </c>
      <c r="P221">
        <v>768</v>
      </c>
    </row>
    <row r="222" spans="1:16" x14ac:dyDescent="0.35">
      <c r="A222" t="s">
        <v>12</v>
      </c>
      <c r="B222" s="3">
        <v>46113</v>
      </c>
      <c r="C222">
        <v>589894</v>
      </c>
      <c r="D222">
        <v>341433</v>
      </c>
      <c r="E222">
        <v>50176</v>
      </c>
      <c r="F222">
        <v>58912</v>
      </c>
      <c r="G222">
        <v>47321</v>
      </c>
      <c r="H222">
        <v>33892</v>
      </c>
      <c r="I222">
        <v>13429</v>
      </c>
      <c r="J222">
        <v>8053</v>
      </c>
      <c r="K222" s="4">
        <f t="shared" si="22"/>
        <v>0.13669541010320477</v>
      </c>
      <c r="L222">
        <v>1693</v>
      </c>
      <c r="M222" s="11">
        <f t="shared" si="21"/>
        <v>0.21023221159816219</v>
      </c>
      <c r="N222">
        <v>6360</v>
      </c>
      <c r="O222" s="11">
        <f t="shared" si="23"/>
        <v>0.78976778840183781</v>
      </c>
      <c r="P222">
        <v>3538</v>
      </c>
    </row>
    <row r="223" spans="1:16" x14ac:dyDescent="0.35">
      <c r="A223" t="s">
        <v>13</v>
      </c>
      <c r="B223" s="3">
        <v>46113</v>
      </c>
      <c r="C223">
        <v>294322</v>
      </c>
      <c r="D223">
        <v>162191</v>
      </c>
      <c r="E223">
        <v>24148</v>
      </c>
      <c r="F223">
        <v>24149</v>
      </c>
      <c r="G223">
        <v>23554</v>
      </c>
      <c r="H223">
        <v>10812</v>
      </c>
      <c r="I223">
        <v>12742</v>
      </c>
      <c r="J223">
        <v>537</v>
      </c>
      <c r="K223" s="4">
        <f t="shared" si="22"/>
        <v>2.2236945629218602E-2</v>
      </c>
      <c r="L223">
        <v>524</v>
      </c>
      <c r="M223" s="11">
        <f t="shared" si="21"/>
        <v>0.97579143389199252</v>
      </c>
      <c r="N223">
        <v>13</v>
      </c>
      <c r="O223" s="11">
        <f t="shared" si="23"/>
        <v>2.4208566108007448E-2</v>
      </c>
      <c r="P223">
        <v>58</v>
      </c>
    </row>
    <row r="224" spans="1:16" x14ac:dyDescent="0.35">
      <c r="A224" t="s">
        <v>14</v>
      </c>
      <c r="B224" s="3">
        <v>46113</v>
      </c>
      <c r="C224">
        <v>2661257</v>
      </c>
      <c r="D224">
        <v>1630448</v>
      </c>
      <c r="E224">
        <v>201287</v>
      </c>
      <c r="F224">
        <v>202881</v>
      </c>
      <c r="G224">
        <v>156985</v>
      </c>
      <c r="H224">
        <v>131055</v>
      </c>
      <c r="I224">
        <v>25930</v>
      </c>
      <c r="J224">
        <v>26833</v>
      </c>
      <c r="K224" s="4">
        <f t="shared" si="22"/>
        <v>0.13225979761535087</v>
      </c>
      <c r="L224">
        <v>7526</v>
      </c>
      <c r="M224" s="11">
        <f t="shared" si="21"/>
        <v>0.28047553385756346</v>
      </c>
      <c r="N224">
        <v>19307</v>
      </c>
      <c r="O224" s="11">
        <f t="shared" si="23"/>
        <v>0.71952446614243659</v>
      </c>
      <c r="P224">
        <v>19063</v>
      </c>
    </row>
    <row r="225" spans="1:16" x14ac:dyDescent="0.35">
      <c r="A225" t="s">
        <v>15</v>
      </c>
      <c r="B225" s="3">
        <v>46113</v>
      </c>
      <c r="C225">
        <v>1277765</v>
      </c>
      <c r="D225">
        <v>735553</v>
      </c>
      <c r="E225">
        <v>98256</v>
      </c>
      <c r="F225">
        <v>87136</v>
      </c>
      <c r="G225">
        <v>14117</v>
      </c>
      <c r="H225">
        <v>4542</v>
      </c>
      <c r="I225">
        <v>9575</v>
      </c>
      <c r="J225">
        <v>41209</v>
      </c>
      <c r="K225" s="4">
        <f t="shared" si="22"/>
        <v>0.47292737789203088</v>
      </c>
      <c r="L225">
        <v>896</v>
      </c>
      <c r="M225" s="11">
        <f t="shared" si="21"/>
        <v>2.1742823169695939E-2</v>
      </c>
      <c r="N225">
        <v>40313</v>
      </c>
      <c r="O225" s="11">
        <f t="shared" si="23"/>
        <v>0.97825717683030411</v>
      </c>
      <c r="P225">
        <v>31810</v>
      </c>
    </row>
    <row r="226" spans="1:16" x14ac:dyDescent="0.35">
      <c r="A226" t="s">
        <v>16</v>
      </c>
      <c r="B226" s="3">
        <v>46113</v>
      </c>
      <c r="C226">
        <v>317953</v>
      </c>
      <c r="D226">
        <v>117826</v>
      </c>
      <c r="E226">
        <v>38980</v>
      </c>
      <c r="F226">
        <v>36241</v>
      </c>
      <c r="G226">
        <v>29349</v>
      </c>
      <c r="H226">
        <v>16944</v>
      </c>
      <c r="I226">
        <v>12405</v>
      </c>
      <c r="J226">
        <v>5430</v>
      </c>
      <c r="K226" s="4">
        <f t="shared" si="22"/>
        <v>0.14983030269584172</v>
      </c>
      <c r="L226">
        <v>3272</v>
      </c>
      <c r="M226" s="11">
        <f t="shared" si="21"/>
        <v>0.60257826887661137</v>
      </c>
      <c r="N226">
        <v>2158</v>
      </c>
      <c r="O226" s="11">
        <f t="shared" si="23"/>
        <v>0.39742173112338858</v>
      </c>
      <c r="P226">
        <v>1462</v>
      </c>
    </row>
    <row r="227" spans="1:16" x14ac:dyDescent="0.35">
      <c r="A227" t="s">
        <v>17</v>
      </c>
      <c r="B227" s="3">
        <v>46113</v>
      </c>
      <c r="C227">
        <v>1164950</v>
      </c>
      <c r="D227">
        <v>718711</v>
      </c>
      <c r="E227">
        <v>91933</v>
      </c>
      <c r="F227">
        <v>154822</v>
      </c>
      <c r="G227">
        <v>134761</v>
      </c>
      <c r="H227">
        <v>119284</v>
      </c>
      <c r="I227">
        <v>15477</v>
      </c>
      <c r="J227">
        <v>19146</v>
      </c>
      <c r="K227" s="4">
        <f t="shared" si="22"/>
        <v>0.12366459547092791</v>
      </c>
      <c r="L227">
        <v>5750</v>
      </c>
      <c r="M227" s="11">
        <f t="shared" si="21"/>
        <v>0.30032382743131725</v>
      </c>
      <c r="N227">
        <v>13396</v>
      </c>
      <c r="O227" s="11">
        <f t="shared" si="23"/>
        <v>0.69967617256868275</v>
      </c>
      <c r="P227">
        <v>915</v>
      </c>
    </row>
    <row r="228" spans="1:16" x14ac:dyDescent="0.35">
      <c r="A228" t="s">
        <v>18</v>
      </c>
      <c r="B228" s="3">
        <v>46113</v>
      </c>
      <c r="C228">
        <v>1164490</v>
      </c>
      <c r="D228">
        <v>649414</v>
      </c>
      <c r="E228">
        <v>96868</v>
      </c>
      <c r="F228">
        <v>129160</v>
      </c>
      <c r="G228">
        <v>75935</v>
      </c>
      <c r="H228">
        <v>53461</v>
      </c>
      <c r="I228">
        <v>22474</v>
      </c>
      <c r="J228">
        <v>34140</v>
      </c>
      <c r="K228" s="4">
        <f t="shared" si="22"/>
        <v>0.26432331991328584</v>
      </c>
      <c r="L228">
        <v>4672</v>
      </c>
      <c r="M228" s="11">
        <f t="shared" si="21"/>
        <v>0.13684827182190978</v>
      </c>
      <c r="N228">
        <v>29468</v>
      </c>
      <c r="O228" s="11">
        <f t="shared" si="23"/>
        <v>0.86315172817809027</v>
      </c>
      <c r="P228">
        <v>19085</v>
      </c>
    </row>
    <row r="229" spans="1:16" x14ac:dyDescent="0.35">
      <c r="A229" t="s">
        <v>19</v>
      </c>
      <c r="B229" s="3">
        <v>46113</v>
      </c>
      <c r="C229">
        <v>1363711</v>
      </c>
      <c r="D229">
        <v>876148</v>
      </c>
      <c r="E229">
        <v>75371</v>
      </c>
      <c r="F229">
        <v>153865</v>
      </c>
      <c r="G229">
        <v>125522</v>
      </c>
      <c r="H229">
        <v>96715</v>
      </c>
      <c r="I229">
        <v>28807</v>
      </c>
      <c r="J229">
        <v>27370</v>
      </c>
      <c r="K229" s="4">
        <f t="shared" si="22"/>
        <v>0.17788320930685991</v>
      </c>
      <c r="L229">
        <v>6917</v>
      </c>
      <c r="M229" s="11">
        <f t="shared" si="21"/>
        <v>0.25272195834855682</v>
      </c>
      <c r="N229">
        <v>20453</v>
      </c>
      <c r="O229" s="11">
        <f t="shared" si="23"/>
        <v>0.74727804165144318</v>
      </c>
      <c r="P229">
        <v>973</v>
      </c>
    </row>
    <row r="230" spans="1:16" x14ac:dyDescent="0.35">
      <c r="A230" t="s">
        <v>20</v>
      </c>
      <c r="B230" s="3">
        <v>46113</v>
      </c>
      <c r="C230">
        <v>1187556</v>
      </c>
      <c r="D230">
        <v>720112</v>
      </c>
      <c r="E230">
        <v>89380</v>
      </c>
      <c r="F230">
        <v>89153</v>
      </c>
      <c r="G230">
        <v>62471</v>
      </c>
      <c r="H230">
        <v>45603</v>
      </c>
      <c r="I230">
        <v>16868</v>
      </c>
      <c r="J230">
        <v>23498</v>
      </c>
      <c r="K230" s="4">
        <f t="shared" si="22"/>
        <v>0.26356936951084092</v>
      </c>
      <c r="L230">
        <v>3068</v>
      </c>
      <c r="M230" s="11">
        <f t="shared" si="21"/>
        <v>0.13056430334496552</v>
      </c>
      <c r="N230">
        <v>20430</v>
      </c>
      <c r="O230" s="11">
        <f t="shared" si="23"/>
        <v>0.86943569665503451</v>
      </c>
      <c r="P230">
        <v>3184</v>
      </c>
    </row>
    <row r="231" spans="1:16" x14ac:dyDescent="0.35">
      <c r="A231" t="s">
        <v>21</v>
      </c>
      <c r="B231" s="3">
        <v>46113</v>
      </c>
      <c r="C231">
        <v>312287</v>
      </c>
      <c r="D231">
        <v>194097</v>
      </c>
      <c r="E231">
        <v>32267</v>
      </c>
      <c r="F231">
        <v>30186</v>
      </c>
      <c r="G231">
        <v>24154</v>
      </c>
      <c r="H231">
        <v>22996</v>
      </c>
      <c r="I231">
        <v>1158</v>
      </c>
      <c r="J231">
        <v>2518</v>
      </c>
      <c r="K231" s="4">
        <f t="shared" si="22"/>
        <v>8.3416153183595049E-2</v>
      </c>
      <c r="L231">
        <v>401</v>
      </c>
      <c r="M231" s="11">
        <f t="shared" si="21"/>
        <v>0.15925337569499604</v>
      </c>
      <c r="N231">
        <v>2117</v>
      </c>
      <c r="O231" s="11">
        <f t="shared" si="23"/>
        <v>0.84074662430500402</v>
      </c>
      <c r="P231">
        <v>3514</v>
      </c>
    </row>
    <row r="232" spans="1:16" x14ac:dyDescent="0.35">
      <c r="A232" t="s">
        <v>22</v>
      </c>
      <c r="B232" s="3">
        <v>46113</v>
      </c>
      <c r="C232">
        <v>2000953</v>
      </c>
      <c r="D232">
        <v>1292850</v>
      </c>
      <c r="E232">
        <v>160428</v>
      </c>
      <c r="F232">
        <v>176751</v>
      </c>
      <c r="G232">
        <v>133922</v>
      </c>
      <c r="H232">
        <v>102638</v>
      </c>
      <c r="I232">
        <v>31284</v>
      </c>
      <c r="J232">
        <v>33242</v>
      </c>
      <c r="K232" s="4">
        <f t="shared" si="22"/>
        <v>0.18807248615283648</v>
      </c>
      <c r="L232">
        <v>5687</v>
      </c>
      <c r="M232" s="11">
        <f t="shared" si="21"/>
        <v>0.17107875579086698</v>
      </c>
      <c r="N232">
        <v>27555</v>
      </c>
      <c r="O232" s="11">
        <f t="shared" si="23"/>
        <v>0.82892124420913305</v>
      </c>
      <c r="P232">
        <v>9587</v>
      </c>
    </row>
    <row r="233" spans="1:16" x14ac:dyDescent="0.35">
      <c r="A233" t="s">
        <v>23</v>
      </c>
      <c r="B233" s="3">
        <v>46113</v>
      </c>
      <c r="C233">
        <v>1130415</v>
      </c>
      <c r="D233">
        <v>539504</v>
      </c>
      <c r="E233">
        <v>80366</v>
      </c>
      <c r="F233">
        <v>90705</v>
      </c>
      <c r="G233">
        <v>74256</v>
      </c>
      <c r="H233">
        <v>63807</v>
      </c>
      <c r="I233">
        <v>10449</v>
      </c>
      <c r="J233">
        <v>16449</v>
      </c>
      <c r="K233" s="4">
        <f t="shared" si="22"/>
        <v>0.18134612204398876</v>
      </c>
      <c r="L233">
        <v>2312</v>
      </c>
      <c r="M233" s="11">
        <f t="shared" si="21"/>
        <v>0.14055565687883761</v>
      </c>
      <c r="N233">
        <v>14137</v>
      </c>
      <c r="O233" s="11">
        <f t="shared" si="23"/>
        <v>0.85944434312116236</v>
      </c>
      <c r="P233">
        <v>0</v>
      </c>
    </row>
    <row r="234" spans="1:16" x14ac:dyDescent="0.35">
      <c r="A234" t="s">
        <v>24</v>
      </c>
      <c r="B234" s="3">
        <v>46113</v>
      </c>
      <c r="C234">
        <v>1113547</v>
      </c>
      <c r="D234">
        <v>679565</v>
      </c>
      <c r="E234">
        <v>85970</v>
      </c>
      <c r="F234">
        <v>95192</v>
      </c>
      <c r="G234">
        <v>57614</v>
      </c>
      <c r="H234">
        <v>51763</v>
      </c>
      <c r="I234">
        <v>5851</v>
      </c>
      <c r="J234">
        <v>19384</v>
      </c>
      <c r="K234" s="4">
        <f t="shared" si="22"/>
        <v>0.20363055718967982</v>
      </c>
      <c r="L234">
        <v>1518</v>
      </c>
      <c r="M234" s="11">
        <f t="shared" si="21"/>
        <v>7.8312009905076349E-2</v>
      </c>
      <c r="N234">
        <v>17866</v>
      </c>
      <c r="O234" s="11">
        <f t="shared" si="23"/>
        <v>0.92168799009492364</v>
      </c>
      <c r="P234">
        <v>18194</v>
      </c>
    </row>
    <row r="235" spans="1:16" x14ac:dyDescent="0.35">
      <c r="A235" t="s">
        <v>25</v>
      </c>
      <c r="B235" s="3">
        <v>46113</v>
      </c>
      <c r="C235">
        <v>502060</v>
      </c>
      <c r="D235">
        <v>195605</v>
      </c>
      <c r="E235">
        <v>49746</v>
      </c>
      <c r="F235">
        <v>43457</v>
      </c>
      <c r="G235">
        <v>37145</v>
      </c>
      <c r="H235">
        <v>17455</v>
      </c>
      <c r="I235">
        <v>19690</v>
      </c>
      <c r="J235">
        <v>6296</v>
      </c>
      <c r="K235" s="4">
        <f t="shared" si="22"/>
        <v>0.14487884575557447</v>
      </c>
      <c r="L235">
        <v>1155</v>
      </c>
      <c r="M235" s="11">
        <f t="shared" si="21"/>
        <v>0.18344980940279543</v>
      </c>
      <c r="N235">
        <v>5141</v>
      </c>
      <c r="O235" s="11">
        <f t="shared" si="23"/>
        <v>0.81655019059720457</v>
      </c>
      <c r="P235">
        <v>16</v>
      </c>
    </row>
    <row r="236" spans="1:16" x14ac:dyDescent="0.35">
      <c r="A236" t="s">
        <v>26</v>
      </c>
      <c r="B236" s="3">
        <v>46113</v>
      </c>
      <c r="C236">
        <v>181100</v>
      </c>
      <c r="D236">
        <v>113556</v>
      </c>
      <c r="E236">
        <v>9362</v>
      </c>
      <c r="F236">
        <v>24839</v>
      </c>
      <c r="G236">
        <v>14219</v>
      </c>
      <c r="H236">
        <v>10591</v>
      </c>
      <c r="I236">
        <v>3628</v>
      </c>
      <c r="J236">
        <v>4750</v>
      </c>
      <c r="K236" s="4">
        <f t="shared" si="22"/>
        <v>0.19123153106002658</v>
      </c>
      <c r="L236">
        <v>1071</v>
      </c>
      <c r="M236" s="11">
        <f t="shared" si="21"/>
        <v>0.22547368421052633</v>
      </c>
      <c r="N236">
        <v>3679</v>
      </c>
      <c r="O236" s="11">
        <f t="shared" si="23"/>
        <v>0.77452631578947373</v>
      </c>
      <c r="P236">
        <v>5870</v>
      </c>
    </row>
    <row r="237" spans="1:16" x14ac:dyDescent="0.35">
      <c r="A237" t="s">
        <v>27</v>
      </c>
      <c r="B237" s="3">
        <v>46113</v>
      </c>
      <c r="C237">
        <v>2486253</v>
      </c>
      <c r="D237">
        <v>1454970</v>
      </c>
      <c r="E237">
        <v>259652</v>
      </c>
      <c r="F237">
        <v>257986</v>
      </c>
      <c r="G237">
        <v>148079</v>
      </c>
      <c r="H237">
        <v>146970</v>
      </c>
      <c r="I237">
        <v>1109</v>
      </c>
      <c r="J237">
        <v>19731</v>
      </c>
      <c r="K237" s="4">
        <f t="shared" si="22"/>
        <v>7.6480894312094455E-2</v>
      </c>
      <c r="L237">
        <v>7904</v>
      </c>
      <c r="M237" s="11">
        <f t="shared" si="21"/>
        <v>0.40058790735391009</v>
      </c>
      <c r="N237">
        <v>11827</v>
      </c>
      <c r="O237" s="11">
        <f t="shared" si="23"/>
        <v>0.59941209264608986</v>
      </c>
      <c r="P237">
        <v>90176</v>
      </c>
    </row>
    <row r="238" spans="1:16" x14ac:dyDescent="0.35">
      <c r="A238" t="s">
        <v>28</v>
      </c>
      <c r="B238" s="3">
        <v>46113</v>
      </c>
      <c r="C238">
        <v>98607</v>
      </c>
      <c r="D238">
        <v>53363</v>
      </c>
      <c r="E238">
        <v>8179</v>
      </c>
      <c r="F238">
        <v>8497</v>
      </c>
      <c r="G238">
        <v>5111</v>
      </c>
      <c r="H238">
        <v>3143</v>
      </c>
      <c r="I238">
        <v>1968</v>
      </c>
      <c r="J238">
        <v>1699</v>
      </c>
      <c r="K238" s="4">
        <f t="shared" si="22"/>
        <v>0.19995292456160998</v>
      </c>
      <c r="L238">
        <v>469</v>
      </c>
      <c r="M238" s="11">
        <f t="shared" si="21"/>
        <v>0.27604473219540904</v>
      </c>
      <c r="N238">
        <v>1230</v>
      </c>
      <c r="O238" s="11">
        <f t="shared" si="23"/>
        <v>0.72395526780459096</v>
      </c>
      <c r="P238">
        <v>1687</v>
      </c>
    </row>
    <row r="239" spans="1:16" x14ac:dyDescent="0.35">
      <c r="A239" t="s">
        <v>29</v>
      </c>
      <c r="B239" s="3">
        <v>46113</v>
      </c>
      <c r="C239">
        <v>296519</v>
      </c>
      <c r="D239">
        <v>162734</v>
      </c>
      <c r="E239">
        <v>22776</v>
      </c>
      <c r="F239">
        <v>25145</v>
      </c>
      <c r="G239">
        <v>18470</v>
      </c>
      <c r="H239">
        <v>16302</v>
      </c>
      <c r="I239">
        <v>2168</v>
      </c>
      <c r="J239">
        <v>4121</v>
      </c>
      <c r="K239" s="4">
        <f t="shared" si="22"/>
        <v>0.16388944124080335</v>
      </c>
      <c r="L239">
        <v>2269</v>
      </c>
      <c r="M239" s="11">
        <f t="shared" si="21"/>
        <v>0.55059451589420039</v>
      </c>
      <c r="N239">
        <v>1852</v>
      </c>
      <c r="O239" s="11">
        <f t="shared" si="23"/>
        <v>0.44940548410579956</v>
      </c>
      <c r="P239">
        <v>2554</v>
      </c>
    </row>
    <row r="240" spans="1:16" x14ac:dyDescent="0.35">
      <c r="A240" t="s">
        <v>30</v>
      </c>
      <c r="B240" s="3">
        <v>46113</v>
      </c>
      <c r="C240">
        <v>152000</v>
      </c>
      <c r="D240">
        <v>85924</v>
      </c>
      <c r="E240">
        <v>11320</v>
      </c>
      <c r="F240">
        <v>11109</v>
      </c>
      <c r="G240">
        <v>7129</v>
      </c>
      <c r="H240">
        <v>3594</v>
      </c>
      <c r="I240">
        <v>3535</v>
      </c>
      <c r="J240">
        <v>3460</v>
      </c>
      <c r="K240" s="4">
        <f t="shared" si="22"/>
        <v>0.31145917724367628</v>
      </c>
      <c r="L240">
        <v>572</v>
      </c>
      <c r="M240" s="11">
        <f t="shared" si="21"/>
        <v>0.16531791907514451</v>
      </c>
      <c r="N240">
        <v>2888</v>
      </c>
      <c r="O240" s="11">
        <f t="shared" si="23"/>
        <v>0.83468208092485552</v>
      </c>
      <c r="P240">
        <v>520</v>
      </c>
    </row>
    <row r="241" spans="1:16" x14ac:dyDescent="0.35">
      <c r="A241" t="s">
        <v>31</v>
      </c>
      <c r="B241" s="3">
        <v>46113</v>
      </c>
      <c r="C241">
        <v>1491638</v>
      </c>
      <c r="D241">
        <v>944112</v>
      </c>
      <c r="E241">
        <v>153472</v>
      </c>
      <c r="F241">
        <v>143746</v>
      </c>
      <c r="G241">
        <v>64288</v>
      </c>
      <c r="H241">
        <v>49661</v>
      </c>
      <c r="I241">
        <v>14627</v>
      </c>
      <c r="J241">
        <v>10360</v>
      </c>
      <c r="K241" s="4">
        <f t="shared" si="22"/>
        <v>7.2071570687184339E-2</v>
      </c>
      <c r="L241">
        <v>4199</v>
      </c>
      <c r="M241" s="11">
        <f t="shared" si="21"/>
        <v>0.40530888030888029</v>
      </c>
      <c r="N241">
        <v>6161</v>
      </c>
      <c r="O241" s="11">
        <f t="shared" si="23"/>
        <v>0.59469111969111965</v>
      </c>
      <c r="P241">
        <v>69098</v>
      </c>
    </row>
    <row r="242" spans="1:16" x14ac:dyDescent="0.35">
      <c r="A242" t="s">
        <v>32</v>
      </c>
      <c r="B242" s="3">
        <v>46113</v>
      </c>
      <c r="C242">
        <v>636907</v>
      </c>
      <c r="D242">
        <v>372719</v>
      </c>
      <c r="E242">
        <v>57868</v>
      </c>
      <c r="F242">
        <v>38907</v>
      </c>
      <c r="G242">
        <v>28653</v>
      </c>
      <c r="H242">
        <v>19894</v>
      </c>
      <c r="I242">
        <v>8759</v>
      </c>
      <c r="J242">
        <v>9553</v>
      </c>
      <c r="K242" s="4">
        <f t="shared" si="22"/>
        <v>0.24553422263345928</v>
      </c>
      <c r="L242">
        <v>1244</v>
      </c>
      <c r="M242" s="11">
        <f t="shared" si="21"/>
        <v>0.13022087302418089</v>
      </c>
      <c r="N242">
        <v>8309</v>
      </c>
      <c r="O242" s="11">
        <f t="shared" si="23"/>
        <v>0.86977912697581916</v>
      </c>
      <c r="P242">
        <v>701</v>
      </c>
    </row>
    <row r="243" spans="1:16" x14ac:dyDescent="0.35">
      <c r="A243" t="s">
        <v>33</v>
      </c>
      <c r="B243" s="3">
        <v>46113</v>
      </c>
      <c r="C243">
        <v>675955</v>
      </c>
      <c r="D243">
        <v>409258</v>
      </c>
      <c r="E243">
        <v>60082</v>
      </c>
      <c r="F243">
        <v>73870</v>
      </c>
      <c r="G243">
        <v>61358</v>
      </c>
      <c r="H243">
        <v>57556</v>
      </c>
      <c r="I243">
        <v>3802</v>
      </c>
      <c r="J243">
        <v>11088</v>
      </c>
      <c r="K243" s="4">
        <f t="shared" si="22"/>
        <v>0.15010152971436308</v>
      </c>
      <c r="L243">
        <v>1801</v>
      </c>
      <c r="M243" s="11">
        <f t="shared" si="21"/>
        <v>0.16242784992784992</v>
      </c>
      <c r="N243">
        <v>9287</v>
      </c>
      <c r="O243" s="11">
        <f t="shared" si="23"/>
        <v>0.83757215007215002</v>
      </c>
      <c r="P243">
        <v>1424</v>
      </c>
    </row>
    <row r="244" spans="1:16" x14ac:dyDescent="0.35">
      <c r="A244" t="s">
        <v>34</v>
      </c>
      <c r="B244" s="3">
        <v>46113</v>
      </c>
      <c r="C244">
        <v>5752512</v>
      </c>
      <c r="D244">
        <v>3973488</v>
      </c>
      <c r="E244">
        <v>364255</v>
      </c>
      <c r="F244">
        <v>378980</v>
      </c>
      <c r="G244">
        <v>276446</v>
      </c>
      <c r="H244">
        <v>100484</v>
      </c>
      <c r="I244">
        <v>175962</v>
      </c>
      <c r="J244">
        <v>95903</v>
      </c>
      <c r="K244" s="4">
        <f t="shared" si="22"/>
        <v>0.25305557021478708</v>
      </c>
      <c r="L244">
        <v>38422</v>
      </c>
      <c r="M244" s="11">
        <f t="shared" si="21"/>
        <v>0.40063397391113936</v>
      </c>
      <c r="N244">
        <v>57481</v>
      </c>
      <c r="O244" s="11">
        <f t="shared" si="23"/>
        <v>0.59936602608886058</v>
      </c>
      <c r="P244">
        <v>6631</v>
      </c>
    </row>
    <row r="245" spans="1:16" x14ac:dyDescent="0.35">
      <c r="A245" t="s">
        <v>35</v>
      </c>
      <c r="B245" s="3">
        <v>46113</v>
      </c>
      <c r="C245">
        <v>2400994</v>
      </c>
      <c r="D245">
        <v>1504099</v>
      </c>
      <c r="E245">
        <v>224649</v>
      </c>
      <c r="F245">
        <v>217059</v>
      </c>
      <c r="G245">
        <v>144204</v>
      </c>
      <c r="H245">
        <v>109330</v>
      </c>
      <c r="I245">
        <v>34874</v>
      </c>
      <c r="J245">
        <v>44960</v>
      </c>
      <c r="K245" s="4">
        <f t="shared" si="22"/>
        <v>0.20713262292740683</v>
      </c>
      <c r="L245">
        <v>4458</v>
      </c>
      <c r="M245" s="11">
        <f t="shared" si="21"/>
        <v>9.9154804270462638E-2</v>
      </c>
      <c r="N245">
        <v>40502</v>
      </c>
      <c r="O245" s="11">
        <f t="shared" si="23"/>
        <v>0.90084519572953736</v>
      </c>
      <c r="P245">
        <v>27895</v>
      </c>
    </row>
    <row r="246" spans="1:16" x14ac:dyDescent="0.35">
      <c r="A246" t="s">
        <v>36</v>
      </c>
      <c r="B246" s="3">
        <v>46113</v>
      </c>
      <c r="C246">
        <v>898649</v>
      </c>
      <c r="D246">
        <v>477029</v>
      </c>
      <c r="E246">
        <v>70177</v>
      </c>
      <c r="F246">
        <v>66004</v>
      </c>
      <c r="G246">
        <v>41169</v>
      </c>
      <c r="H246">
        <v>31315</v>
      </c>
      <c r="I246">
        <v>9854</v>
      </c>
      <c r="J246">
        <v>22129</v>
      </c>
      <c r="K246" s="4">
        <f t="shared" si="22"/>
        <v>0.33526755954184595</v>
      </c>
      <c r="L246">
        <v>5376</v>
      </c>
      <c r="M246" s="11">
        <f t="shared" si="21"/>
        <v>0.24293912964887704</v>
      </c>
      <c r="N246">
        <v>16753</v>
      </c>
      <c r="O246" s="11">
        <f t="shared" si="23"/>
        <v>0.75706087035112291</v>
      </c>
      <c r="P246">
        <v>2706</v>
      </c>
    </row>
    <row r="247" spans="1:16" x14ac:dyDescent="0.35">
      <c r="A247" t="s">
        <v>37</v>
      </c>
      <c r="B247" s="3">
        <v>46113</v>
      </c>
      <c r="C247">
        <v>1094915</v>
      </c>
      <c r="D247">
        <v>807667</v>
      </c>
      <c r="E247">
        <v>69821</v>
      </c>
      <c r="F247">
        <v>72794</v>
      </c>
      <c r="G247">
        <v>59580</v>
      </c>
      <c r="H247">
        <v>50441</v>
      </c>
      <c r="I247">
        <v>9139</v>
      </c>
      <c r="J247">
        <v>13042</v>
      </c>
      <c r="K247" s="4">
        <f t="shared" si="22"/>
        <v>0.17916311783938238</v>
      </c>
      <c r="L247">
        <v>3319</v>
      </c>
      <c r="M247" s="11">
        <f t="shared" si="21"/>
        <v>0.25448550835761385</v>
      </c>
      <c r="N247">
        <v>9723</v>
      </c>
      <c r="O247" s="11">
        <f t="shared" si="23"/>
        <v>0.74551449164238615</v>
      </c>
      <c r="P247">
        <v>172</v>
      </c>
    </row>
    <row r="248" spans="1:16" x14ac:dyDescent="0.35">
      <c r="A248" t="s">
        <v>38</v>
      </c>
      <c r="B248" s="3">
        <v>46113</v>
      </c>
      <c r="C248">
        <v>2701242</v>
      </c>
      <c r="D248">
        <v>1577907</v>
      </c>
      <c r="E248">
        <v>200071</v>
      </c>
      <c r="F248">
        <v>214310</v>
      </c>
      <c r="G248">
        <v>123665</v>
      </c>
      <c r="H248">
        <v>41547</v>
      </c>
      <c r="I248">
        <v>82118</v>
      </c>
      <c r="J248">
        <v>30128</v>
      </c>
      <c r="K248" s="4">
        <f t="shared" si="22"/>
        <v>0.14058140077457887</v>
      </c>
      <c r="L248">
        <v>17013</v>
      </c>
      <c r="M248" s="11">
        <f t="shared" si="21"/>
        <v>0.56469065321295808</v>
      </c>
      <c r="N248">
        <v>13115</v>
      </c>
      <c r="O248" s="11">
        <f t="shared" si="23"/>
        <v>0.43530934678704197</v>
      </c>
      <c r="P248">
        <v>60517</v>
      </c>
    </row>
    <row r="249" spans="1:16" x14ac:dyDescent="0.35">
      <c r="A249" t="s">
        <v>39</v>
      </c>
      <c r="B249" s="3">
        <v>46113</v>
      </c>
      <c r="C249">
        <v>256569</v>
      </c>
      <c r="D249">
        <v>173837</v>
      </c>
      <c r="E249">
        <v>21349</v>
      </c>
      <c r="F249">
        <v>24239</v>
      </c>
      <c r="G249">
        <v>19756</v>
      </c>
      <c r="H249">
        <v>17672</v>
      </c>
      <c r="I249">
        <v>2084</v>
      </c>
      <c r="J249">
        <v>4387</v>
      </c>
      <c r="K249" s="4">
        <f t="shared" si="22"/>
        <v>0.18098931474070712</v>
      </c>
      <c r="L249">
        <v>1608</v>
      </c>
      <c r="M249" s="11">
        <f t="shared" si="21"/>
        <v>0.36653749715067246</v>
      </c>
      <c r="N249">
        <v>2779</v>
      </c>
      <c r="O249" s="11">
        <f t="shared" si="23"/>
        <v>0.63346250284932759</v>
      </c>
      <c r="P249">
        <v>96</v>
      </c>
    </row>
    <row r="250" spans="1:16" x14ac:dyDescent="0.35">
      <c r="A250" t="s">
        <v>40</v>
      </c>
      <c r="B250" s="3">
        <v>46113</v>
      </c>
      <c r="C250">
        <v>850016</v>
      </c>
      <c r="D250">
        <v>365142</v>
      </c>
      <c r="E250">
        <v>78480</v>
      </c>
      <c r="F250">
        <v>85471</v>
      </c>
      <c r="G250">
        <v>64961</v>
      </c>
      <c r="H250">
        <v>60703</v>
      </c>
      <c r="I250">
        <v>4258</v>
      </c>
      <c r="J250">
        <v>18940</v>
      </c>
      <c r="K250" s="4">
        <f t="shared" si="22"/>
        <v>0.22159562892677048</v>
      </c>
      <c r="L250">
        <v>16308</v>
      </c>
      <c r="M250" s="11">
        <f t="shared" si="21"/>
        <v>0.86103484688489973</v>
      </c>
      <c r="N250">
        <v>2632</v>
      </c>
      <c r="O250" s="11">
        <f t="shared" si="23"/>
        <v>0.13896515311510033</v>
      </c>
      <c r="P250">
        <v>1570</v>
      </c>
    </row>
    <row r="251" spans="1:16" x14ac:dyDescent="0.35">
      <c r="A251" t="s">
        <v>41</v>
      </c>
      <c r="B251" s="3">
        <v>46113</v>
      </c>
      <c r="C251">
        <v>124467</v>
      </c>
      <c r="D251">
        <v>62522</v>
      </c>
      <c r="E251">
        <v>13374</v>
      </c>
      <c r="F251">
        <v>12726</v>
      </c>
      <c r="G251">
        <v>10126</v>
      </c>
      <c r="H251">
        <v>7212</v>
      </c>
      <c r="I251">
        <v>2914</v>
      </c>
      <c r="J251">
        <v>2429</v>
      </c>
      <c r="K251" s="4">
        <f t="shared" si="22"/>
        <v>0.19086908690869087</v>
      </c>
      <c r="L251">
        <v>376</v>
      </c>
      <c r="M251" s="11">
        <f t="shared" si="21"/>
        <v>0.15479621243310004</v>
      </c>
      <c r="N251">
        <v>2053</v>
      </c>
      <c r="O251" s="11">
        <f t="shared" si="23"/>
        <v>0.84520378756689996</v>
      </c>
      <c r="P251">
        <v>171</v>
      </c>
    </row>
    <row r="252" spans="1:16" x14ac:dyDescent="0.35">
      <c r="A252" t="s">
        <v>42</v>
      </c>
      <c r="B252" s="3">
        <v>46113</v>
      </c>
      <c r="C252">
        <v>1207988</v>
      </c>
      <c r="D252">
        <v>567060</v>
      </c>
      <c r="E252">
        <v>92379</v>
      </c>
      <c r="F252">
        <v>91148</v>
      </c>
      <c r="G252">
        <v>81196</v>
      </c>
      <c r="H252">
        <v>62449</v>
      </c>
      <c r="I252">
        <v>18747</v>
      </c>
      <c r="J252">
        <v>9739</v>
      </c>
      <c r="K252" s="4">
        <f t="shared" si="22"/>
        <v>0.1068482029227191</v>
      </c>
      <c r="L252">
        <v>3169</v>
      </c>
      <c r="M252" s="11">
        <f t="shared" si="21"/>
        <v>0.32539275079576957</v>
      </c>
      <c r="N252">
        <v>6570</v>
      </c>
      <c r="O252" s="11">
        <f t="shared" si="23"/>
        <v>0.67460724920423043</v>
      </c>
      <c r="P252">
        <v>213</v>
      </c>
    </row>
    <row r="253" spans="1:16" x14ac:dyDescent="0.35">
      <c r="A253" t="s">
        <v>43</v>
      </c>
      <c r="B253" s="3">
        <v>46113</v>
      </c>
      <c r="C253">
        <v>3643702</v>
      </c>
      <c r="D253">
        <v>959933</v>
      </c>
      <c r="E253">
        <v>304303</v>
      </c>
      <c r="F253">
        <v>272595</v>
      </c>
      <c r="G253">
        <v>168231</v>
      </c>
      <c r="H253">
        <v>23741</v>
      </c>
      <c r="I253">
        <v>144490</v>
      </c>
      <c r="J253">
        <v>87825</v>
      </c>
      <c r="K253" s="4">
        <f t="shared" si="22"/>
        <v>0.32218125791008639</v>
      </c>
      <c r="L253">
        <v>28180</v>
      </c>
      <c r="M253" s="11">
        <f t="shared" si="21"/>
        <v>0.32086535724452037</v>
      </c>
      <c r="N253">
        <v>59645</v>
      </c>
      <c r="O253" s="11">
        <f t="shared" si="23"/>
        <v>0.67913464275547963</v>
      </c>
      <c r="P253">
        <v>16539</v>
      </c>
    </row>
    <row r="254" spans="1:16" x14ac:dyDescent="0.35">
      <c r="A254" t="s">
        <v>44</v>
      </c>
      <c r="B254" s="3">
        <v>46113</v>
      </c>
      <c r="C254">
        <v>290143</v>
      </c>
      <c r="D254">
        <v>162666</v>
      </c>
      <c r="E254">
        <v>23805</v>
      </c>
      <c r="F254">
        <v>29893</v>
      </c>
      <c r="G254">
        <v>15856</v>
      </c>
      <c r="H254">
        <v>5035</v>
      </c>
      <c r="I254">
        <v>10821</v>
      </c>
      <c r="J254">
        <v>8480</v>
      </c>
      <c r="K254" s="4">
        <f t="shared" si="22"/>
        <v>0.2836784531495668</v>
      </c>
      <c r="L254">
        <v>997</v>
      </c>
      <c r="M254" s="11">
        <f t="shared" si="21"/>
        <v>0.11757075471698113</v>
      </c>
      <c r="N254">
        <v>7483</v>
      </c>
      <c r="O254" s="11">
        <f t="shared" si="23"/>
        <v>0.88242924528301891</v>
      </c>
      <c r="P254">
        <v>5557</v>
      </c>
    </row>
    <row r="255" spans="1:16" x14ac:dyDescent="0.35">
      <c r="A255" t="s">
        <v>45</v>
      </c>
      <c r="B255" s="3">
        <v>46113</v>
      </c>
      <c r="C255">
        <v>1463881</v>
      </c>
      <c r="D255">
        <v>863486</v>
      </c>
      <c r="E255">
        <v>114317</v>
      </c>
      <c r="F255">
        <v>141430</v>
      </c>
      <c r="G255">
        <v>125091</v>
      </c>
      <c r="H255">
        <v>69515</v>
      </c>
      <c r="I255">
        <v>55576</v>
      </c>
      <c r="J255">
        <v>13659</v>
      </c>
      <c r="K255" s="4">
        <f t="shared" si="22"/>
        <v>9.6577812345329847E-2</v>
      </c>
      <c r="L255">
        <v>2597</v>
      </c>
      <c r="M255" s="11">
        <f t="shared" si="21"/>
        <v>0.19013104912511897</v>
      </c>
      <c r="N255">
        <v>11062</v>
      </c>
      <c r="O255" s="11">
        <f t="shared" si="23"/>
        <v>0.80986895087488098</v>
      </c>
      <c r="P255">
        <v>2680</v>
      </c>
    </row>
    <row r="256" spans="1:16" x14ac:dyDescent="0.35">
      <c r="A256" t="s">
        <v>46</v>
      </c>
      <c r="B256" s="3">
        <v>46113</v>
      </c>
      <c r="C256">
        <v>142134</v>
      </c>
      <c r="D256">
        <v>90938</v>
      </c>
      <c r="E256">
        <v>10437</v>
      </c>
      <c r="F256">
        <v>14821</v>
      </c>
      <c r="G256">
        <v>11424</v>
      </c>
      <c r="H256">
        <v>9648</v>
      </c>
      <c r="I256">
        <v>1776</v>
      </c>
      <c r="J256">
        <v>2311</v>
      </c>
      <c r="K256" s="4">
        <f t="shared" si="22"/>
        <v>0.15592740031037042</v>
      </c>
      <c r="L256">
        <v>347</v>
      </c>
      <c r="M256" s="11">
        <f t="shared" si="21"/>
        <v>0.15015144958892254</v>
      </c>
      <c r="N256">
        <v>1964</v>
      </c>
      <c r="O256" s="11">
        <f t="shared" si="23"/>
        <v>0.84984855041107743</v>
      </c>
      <c r="P256">
        <v>1086</v>
      </c>
    </row>
    <row r="257" spans="1:16" x14ac:dyDescent="0.35">
      <c r="A257" t="s">
        <v>47</v>
      </c>
      <c r="B257" s="3">
        <v>46113</v>
      </c>
      <c r="C257">
        <v>1727218</v>
      </c>
      <c r="D257">
        <v>974264</v>
      </c>
      <c r="E257">
        <v>142254</v>
      </c>
      <c r="F257">
        <v>111303</v>
      </c>
      <c r="G257">
        <v>98046</v>
      </c>
      <c r="H257">
        <v>90326</v>
      </c>
      <c r="I257">
        <v>7720</v>
      </c>
      <c r="J257">
        <v>12563</v>
      </c>
      <c r="K257" s="4">
        <f t="shared" si="22"/>
        <v>0.11287206993522188</v>
      </c>
      <c r="L257">
        <v>2129</v>
      </c>
      <c r="M257" s="11">
        <f t="shared" si="21"/>
        <v>0.1694658919047998</v>
      </c>
      <c r="N257">
        <v>10434</v>
      </c>
      <c r="O257" s="11">
        <f t="shared" si="23"/>
        <v>0.83053410809520023</v>
      </c>
      <c r="P257">
        <v>694</v>
      </c>
    </row>
    <row r="258" spans="1:16" x14ac:dyDescent="0.35">
      <c r="A258" t="s">
        <v>48</v>
      </c>
      <c r="B258" s="3">
        <v>46113</v>
      </c>
      <c r="C258">
        <v>1017266</v>
      </c>
      <c r="D258">
        <v>581917</v>
      </c>
      <c r="E258">
        <v>76660</v>
      </c>
      <c r="F258">
        <v>81603</v>
      </c>
      <c r="G258">
        <v>56851</v>
      </c>
      <c r="H258">
        <v>35566</v>
      </c>
      <c r="I258">
        <v>21285</v>
      </c>
      <c r="J258">
        <v>18571</v>
      </c>
      <c r="K258" s="4">
        <f t="shared" si="22"/>
        <v>0.22757741749690574</v>
      </c>
      <c r="L258">
        <v>8138</v>
      </c>
      <c r="M258" s="11">
        <f t="shared" si="21"/>
        <v>0.43821011254105863</v>
      </c>
      <c r="N258">
        <v>10433</v>
      </c>
      <c r="O258" s="11">
        <f t="shared" si="23"/>
        <v>0.56178988745894132</v>
      </c>
      <c r="P258">
        <v>6181</v>
      </c>
    </row>
    <row r="259" spans="1:16" x14ac:dyDescent="0.35">
      <c r="A259" t="s">
        <v>49</v>
      </c>
      <c r="B259" s="3">
        <v>46113</v>
      </c>
      <c r="C259">
        <v>448422</v>
      </c>
      <c r="D259">
        <v>294643</v>
      </c>
      <c r="E259">
        <v>28388</v>
      </c>
      <c r="F259">
        <v>28476</v>
      </c>
      <c r="G259">
        <v>22906</v>
      </c>
      <c r="H259">
        <v>16790</v>
      </c>
      <c r="I259">
        <v>6116</v>
      </c>
      <c r="J259">
        <v>5321</v>
      </c>
      <c r="K259" s="4">
        <f t="shared" si="22"/>
        <v>0.18685910942548112</v>
      </c>
      <c r="L259">
        <v>1170</v>
      </c>
      <c r="M259" s="11">
        <f t="shared" si="21"/>
        <v>0.21988348054876902</v>
      </c>
      <c r="N259">
        <v>4151</v>
      </c>
      <c r="O259" s="11">
        <f t="shared" si="23"/>
        <v>0.78011651945123095</v>
      </c>
      <c r="P259">
        <v>249</v>
      </c>
    </row>
    <row r="260" spans="1:16" x14ac:dyDescent="0.35">
      <c r="A260" t="s">
        <v>50</v>
      </c>
      <c r="B260" s="3">
        <v>46113</v>
      </c>
      <c r="C260">
        <v>54202</v>
      </c>
      <c r="D260">
        <v>19432</v>
      </c>
      <c r="E260">
        <v>3675</v>
      </c>
      <c r="F260">
        <v>5013</v>
      </c>
      <c r="G260">
        <v>3224</v>
      </c>
      <c r="H260">
        <v>2029</v>
      </c>
      <c r="I260">
        <v>1195</v>
      </c>
      <c r="J260">
        <v>1279</v>
      </c>
      <c r="K260" s="4">
        <f t="shared" si="22"/>
        <v>0.25513664472371833</v>
      </c>
      <c r="L260">
        <v>345</v>
      </c>
      <c r="M260" s="11">
        <f t="shared" si="21"/>
        <v>0.26974198592650506</v>
      </c>
      <c r="N260">
        <v>934</v>
      </c>
      <c r="O260" s="11">
        <f>N260/J260</f>
        <v>0.73025801407349489</v>
      </c>
      <c r="P260">
        <v>510</v>
      </c>
    </row>
    <row r="261" spans="1:16" s="1" customFormat="1" x14ac:dyDescent="0.35">
      <c r="A261" s="1" t="s">
        <v>63</v>
      </c>
      <c r="B261" s="8">
        <v>46113</v>
      </c>
      <c r="C261" s="1">
        <f t="shared" ref="C261:J261" si="24">SUM(C210:C260)</f>
        <v>66725217</v>
      </c>
      <c r="D261" s="1">
        <f t="shared" si="24"/>
        <v>38489574</v>
      </c>
      <c r="E261" s="1">
        <f t="shared" si="24"/>
        <v>5451600</v>
      </c>
      <c r="F261" s="1">
        <f t="shared" si="24"/>
        <v>5828803</v>
      </c>
      <c r="G261" s="1">
        <f t="shared" si="24"/>
        <v>3990308</v>
      </c>
      <c r="H261" s="1">
        <f t="shared" si="24"/>
        <v>2715704</v>
      </c>
      <c r="I261" s="1">
        <f t="shared" si="24"/>
        <v>1274604</v>
      </c>
      <c r="J261" s="1">
        <f t="shared" si="24"/>
        <v>1142873</v>
      </c>
      <c r="K261" s="9">
        <f>J261/F261</f>
        <v>0.19607336188922495</v>
      </c>
      <c r="L261" s="1">
        <f>SUM(L210:L260)</f>
        <v>297119</v>
      </c>
      <c r="M261" s="9">
        <f>L261/J261</f>
        <v>0.25997551783968997</v>
      </c>
      <c r="N261" s="1">
        <f>SUM(N210:N260)</f>
        <v>845754</v>
      </c>
      <c r="O261" s="13">
        <f>N261/J261</f>
        <v>0.74002448216031003</v>
      </c>
      <c r="P261" s="1">
        <f>SUM(P210:P260)</f>
        <v>695622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13B8-E413-4116-A55A-3857C35DED52}">
  <dimension ref="A1:C53"/>
  <sheetViews>
    <sheetView workbookViewId="0">
      <selection sqref="A1:C1"/>
    </sheetView>
  </sheetViews>
  <sheetFormatPr defaultRowHeight="14.5" x14ac:dyDescent="0.35"/>
  <cols>
    <col min="1" max="1" width="17.81640625" bestFit="1" customWidth="1"/>
    <col min="2" max="2" width="15" bestFit="1" customWidth="1"/>
    <col min="3" max="3" width="23.26953125" bestFit="1" customWidth="1"/>
  </cols>
  <sheetData>
    <row r="1" spans="1:3" s="1" customFormat="1" x14ac:dyDescent="0.35">
      <c r="A1" s="1" t="s">
        <v>51</v>
      </c>
      <c r="B1" s="1" t="s">
        <v>52</v>
      </c>
      <c r="C1" s="1" t="s">
        <v>53</v>
      </c>
    </row>
    <row r="2" spans="1:3" x14ac:dyDescent="0.35">
      <c r="A2" t="s">
        <v>0</v>
      </c>
      <c r="B2" s="3">
        <v>44986</v>
      </c>
      <c r="C2">
        <v>253960</v>
      </c>
    </row>
    <row r="3" spans="1:3" x14ac:dyDescent="0.35">
      <c r="A3" t="s">
        <v>1</v>
      </c>
      <c r="B3" s="3">
        <v>44986</v>
      </c>
      <c r="C3">
        <v>991468</v>
      </c>
    </row>
    <row r="4" spans="1:3" x14ac:dyDescent="0.35">
      <c r="A4" t="s">
        <v>2</v>
      </c>
      <c r="B4" s="3">
        <v>44986</v>
      </c>
      <c r="C4">
        <v>1010510</v>
      </c>
    </row>
    <row r="5" spans="1:3" x14ac:dyDescent="0.35">
      <c r="A5" t="s">
        <v>3</v>
      </c>
      <c r="B5" s="3">
        <v>44986</v>
      </c>
      <c r="C5">
        <v>2184898</v>
      </c>
    </row>
    <row r="6" spans="1:3" x14ac:dyDescent="0.35">
      <c r="A6" t="s">
        <v>4</v>
      </c>
      <c r="B6" s="3">
        <v>44986</v>
      </c>
      <c r="C6">
        <v>12931478</v>
      </c>
    </row>
    <row r="7" spans="1:3" x14ac:dyDescent="0.35">
      <c r="A7" t="s">
        <v>5</v>
      </c>
      <c r="B7" s="3">
        <v>44986</v>
      </c>
      <c r="C7">
        <v>1591111</v>
      </c>
    </row>
    <row r="8" spans="1:3" x14ac:dyDescent="0.35">
      <c r="A8" t="s">
        <v>6</v>
      </c>
      <c r="B8" s="3">
        <v>44986</v>
      </c>
      <c r="C8">
        <v>1005040</v>
      </c>
    </row>
    <row r="9" spans="1:3" x14ac:dyDescent="0.35">
      <c r="A9" t="s">
        <v>7</v>
      </c>
      <c r="B9" s="3">
        <v>44986</v>
      </c>
      <c r="C9">
        <v>278836</v>
      </c>
    </row>
    <row r="10" spans="1:3" x14ac:dyDescent="0.35">
      <c r="A10" t="s">
        <v>8</v>
      </c>
      <c r="B10" s="3">
        <v>44986</v>
      </c>
      <c r="C10">
        <v>300281</v>
      </c>
    </row>
    <row r="11" spans="1:3" x14ac:dyDescent="0.35">
      <c r="A11" t="s">
        <v>9</v>
      </c>
      <c r="B11" s="3">
        <v>44986</v>
      </c>
      <c r="C11">
        <v>5000278</v>
      </c>
    </row>
    <row r="12" spans="1:3" x14ac:dyDescent="0.35">
      <c r="A12" t="s">
        <v>10</v>
      </c>
      <c r="B12" s="3">
        <v>44986</v>
      </c>
      <c r="C12">
        <v>2167942</v>
      </c>
    </row>
    <row r="13" spans="1:3" x14ac:dyDescent="0.35">
      <c r="A13" t="s">
        <v>11</v>
      </c>
      <c r="B13" s="3">
        <v>44986</v>
      </c>
      <c r="C13">
        <v>441198</v>
      </c>
    </row>
    <row r="14" spans="1:3" x14ac:dyDescent="0.35">
      <c r="A14" t="s">
        <v>12</v>
      </c>
      <c r="B14" s="3">
        <v>44986</v>
      </c>
      <c r="C14">
        <v>790181</v>
      </c>
    </row>
    <row r="15" spans="1:3" x14ac:dyDescent="0.35">
      <c r="A15" t="s">
        <v>13</v>
      </c>
      <c r="B15" s="3">
        <v>44986</v>
      </c>
      <c r="C15">
        <v>418774</v>
      </c>
    </row>
    <row r="16" spans="1:3" x14ac:dyDescent="0.35">
      <c r="A16" t="s">
        <v>14</v>
      </c>
      <c r="B16" s="3">
        <v>44986</v>
      </c>
      <c r="C16">
        <v>3471258</v>
      </c>
    </row>
    <row r="17" spans="1:3" x14ac:dyDescent="0.35">
      <c r="A17" t="s">
        <v>15</v>
      </c>
      <c r="B17" s="3">
        <v>44986</v>
      </c>
      <c r="C17">
        <v>1904700</v>
      </c>
    </row>
    <row r="18" spans="1:3" x14ac:dyDescent="0.35">
      <c r="A18" t="s">
        <v>16</v>
      </c>
      <c r="B18" s="3">
        <v>44986</v>
      </c>
      <c r="C18">
        <v>438542</v>
      </c>
    </row>
    <row r="19" spans="1:3" x14ac:dyDescent="0.35">
      <c r="A19" t="s">
        <v>17</v>
      </c>
      <c r="B19" s="3">
        <v>44986</v>
      </c>
      <c r="C19">
        <v>1494768</v>
      </c>
    </row>
    <row r="20" spans="1:3" x14ac:dyDescent="0.35">
      <c r="A20" t="s">
        <v>18</v>
      </c>
      <c r="B20" s="3">
        <v>44986</v>
      </c>
      <c r="C20">
        <v>1724564</v>
      </c>
    </row>
    <row r="21" spans="1:3" x14ac:dyDescent="0.35">
      <c r="A21" t="s">
        <v>19</v>
      </c>
      <c r="B21" s="3">
        <v>44986</v>
      </c>
      <c r="C21">
        <v>1803264</v>
      </c>
    </row>
    <row r="22" spans="1:3" x14ac:dyDescent="0.35">
      <c r="A22" t="s">
        <v>20</v>
      </c>
      <c r="B22" s="3">
        <v>44986</v>
      </c>
      <c r="C22">
        <v>1538624</v>
      </c>
    </row>
    <row r="23" spans="1:3" x14ac:dyDescent="0.35">
      <c r="A23" t="s">
        <v>21</v>
      </c>
      <c r="B23" s="3">
        <v>44986</v>
      </c>
      <c r="C23">
        <v>358877</v>
      </c>
    </row>
    <row r="24" spans="1:3" x14ac:dyDescent="0.35">
      <c r="A24" t="s">
        <v>22</v>
      </c>
      <c r="B24" s="3">
        <v>44986</v>
      </c>
      <c r="C24">
        <v>2929863</v>
      </c>
    </row>
    <row r="25" spans="1:3" x14ac:dyDescent="0.35">
      <c r="A25" t="s">
        <v>23</v>
      </c>
      <c r="B25" s="3">
        <v>44986</v>
      </c>
      <c r="C25">
        <v>1393030</v>
      </c>
    </row>
    <row r="26" spans="1:3" x14ac:dyDescent="0.35">
      <c r="A26" t="s">
        <v>24</v>
      </c>
      <c r="B26" s="3">
        <v>44986</v>
      </c>
      <c r="C26">
        <v>1464197</v>
      </c>
    </row>
    <row r="27" spans="1:3" x14ac:dyDescent="0.35">
      <c r="A27" t="s">
        <v>25</v>
      </c>
      <c r="B27" s="3">
        <v>44986</v>
      </c>
      <c r="C27">
        <v>702289</v>
      </c>
    </row>
    <row r="28" spans="1:3" x14ac:dyDescent="0.35">
      <c r="A28" t="s">
        <v>26</v>
      </c>
      <c r="B28" s="3">
        <v>44986</v>
      </c>
      <c r="C28">
        <v>299724</v>
      </c>
    </row>
    <row r="29" spans="1:3" x14ac:dyDescent="0.35">
      <c r="A29" t="s">
        <v>27</v>
      </c>
      <c r="B29" s="3">
        <v>44986</v>
      </c>
      <c r="C29">
        <v>2137561</v>
      </c>
    </row>
    <row r="30" spans="1:3" x14ac:dyDescent="0.35">
      <c r="A30" t="s">
        <v>28</v>
      </c>
      <c r="B30" s="3">
        <v>44986</v>
      </c>
      <c r="C30">
        <v>129430</v>
      </c>
    </row>
    <row r="31" spans="1:3" x14ac:dyDescent="0.35">
      <c r="A31" t="s">
        <v>29</v>
      </c>
      <c r="B31" s="3">
        <v>44986</v>
      </c>
      <c r="C31">
        <v>352494</v>
      </c>
    </row>
    <row r="32" spans="1:3" x14ac:dyDescent="0.35">
      <c r="A32" t="s">
        <v>30</v>
      </c>
      <c r="B32" s="3">
        <v>44986</v>
      </c>
      <c r="C32">
        <v>227977</v>
      </c>
    </row>
    <row r="33" spans="1:3" x14ac:dyDescent="0.35">
      <c r="A33" t="s">
        <v>31</v>
      </c>
      <c r="B33" s="3">
        <v>44986</v>
      </c>
      <c r="C33">
        <v>1962324</v>
      </c>
    </row>
    <row r="34" spans="1:3" x14ac:dyDescent="0.35">
      <c r="A34" t="s">
        <v>32</v>
      </c>
      <c r="B34" s="3">
        <v>44986</v>
      </c>
      <c r="C34">
        <v>836594</v>
      </c>
    </row>
    <row r="35" spans="1:3" x14ac:dyDescent="0.35">
      <c r="A35" t="s">
        <v>33</v>
      </c>
      <c r="B35" s="3">
        <v>44986</v>
      </c>
      <c r="C35">
        <v>840149</v>
      </c>
    </row>
    <row r="36" spans="1:3" x14ac:dyDescent="0.35">
      <c r="A36" t="s">
        <v>34</v>
      </c>
      <c r="B36" s="3">
        <v>44986</v>
      </c>
      <c r="C36">
        <v>6962065</v>
      </c>
    </row>
    <row r="37" spans="1:3" x14ac:dyDescent="0.35">
      <c r="A37" t="s">
        <v>35</v>
      </c>
      <c r="B37" s="3">
        <v>44986</v>
      </c>
      <c r="C37">
        <v>3167340</v>
      </c>
    </row>
    <row r="38" spans="1:3" x14ac:dyDescent="0.35">
      <c r="A38" t="s">
        <v>36</v>
      </c>
      <c r="B38" s="3">
        <v>44986</v>
      </c>
      <c r="C38">
        <v>1183657</v>
      </c>
    </row>
    <row r="39" spans="1:3" x14ac:dyDescent="0.35">
      <c r="A39" t="s">
        <v>37</v>
      </c>
      <c r="B39" s="3">
        <v>44986</v>
      </c>
      <c r="C39">
        <v>1213001</v>
      </c>
    </row>
    <row r="40" spans="1:3" x14ac:dyDescent="0.35">
      <c r="A40" t="s">
        <v>38</v>
      </c>
      <c r="B40" s="3">
        <v>44986</v>
      </c>
      <c r="C40">
        <v>3462649</v>
      </c>
    </row>
    <row r="41" spans="1:3" x14ac:dyDescent="0.35">
      <c r="A41" t="s">
        <v>39</v>
      </c>
      <c r="B41" s="3">
        <v>44986</v>
      </c>
      <c r="C41">
        <v>332528</v>
      </c>
    </row>
    <row r="42" spans="1:3" x14ac:dyDescent="0.35">
      <c r="A42" t="s">
        <v>40</v>
      </c>
      <c r="B42" s="3">
        <v>44986</v>
      </c>
      <c r="C42">
        <v>1201865</v>
      </c>
    </row>
    <row r="43" spans="1:3" x14ac:dyDescent="0.35">
      <c r="A43" t="s">
        <v>41</v>
      </c>
      <c r="B43" s="3">
        <v>44986</v>
      </c>
      <c r="C43">
        <v>127505</v>
      </c>
    </row>
    <row r="44" spans="1:3" x14ac:dyDescent="0.35">
      <c r="A44" t="s">
        <v>42</v>
      </c>
      <c r="B44" s="3">
        <v>44986</v>
      </c>
      <c r="C44">
        <v>1650389</v>
      </c>
    </row>
    <row r="45" spans="1:3" x14ac:dyDescent="0.35">
      <c r="A45" t="s">
        <v>43</v>
      </c>
      <c r="B45" s="3">
        <v>44986</v>
      </c>
      <c r="C45">
        <v>5640998</v>
      </c>
    </row>
    <row r="46" spans="1:3" x14ac:dyDescent="0.35">
      <c r="A46" t="s">
        <v>44</v>
      </c>
      <c r="B46" s="3">
        <v>44986</v>
      </c>
      <c r="C46">
        <v>445810</v>
      </c>
    </row>
    <row r="47" spans="1:3" x14ac:dyDescent="0.35">
      <c r="A47" t="s">
        <v>45</v>
      </c>
      <c r="B47" s="3">
        <v>44986</v>
      </c>
      <c r="C47">
        <v>1840758</v>
      </c>
    </row>
    <row r="48" spans="1:3" x14ac:dyDescent="0.35">
      <c r="A48" t="s">
        <v>46</v>
      </c>
      <c r="B48" s="3">
        <v>44986</v>
      </c>
      <c r="C48">
        <v>189065</v>
      </c>
    </row>
    <row r="49" spans="1:3" x14ac:dyDescent="0.35">
      <c r="A49" t="s">
        <v>47</v>
      </c>
      <c r="B49" s="3">
        <v>44986</v>
      </c>
      <c r="C49">
        <v>2109188</v>
      </c>
    </row>
    <row r="50" spans="1:3" x14ac:dyDescent="0.35">
      <c r="A50" t="s">
        <v>48</v>
      </c>
      <c r="B50" s="3">
        <v>44986</v>
      </c>
      <c r="C50">
        <v>1359177</v>
      </c>
    </row>
    <row r="51" spans="1:3" x14ac:dyDescent="0.35">
      <c r="A51" t="s">
        <v>49</v>
      </c>
      <c r="B51" s="3">
        <v>44986</v>
      </c>
      <c r="C51">
        <v>622863</v>
      </c>
    </row>
    <row r="52" spans="1:3" x14ac:dyDescent="0.35">
      <c r="A52" t="s">
        <v>50</v>
      </c>
      <c r="B52" s="3">
        <v>44986</v>
      </c>
      <c r="C52">
        <v>79226</v>
      </c>
    </row>
    <row r="53" spans="1:3" x14ac:dyDescent="0.35">
      <c r="A53" t="s">
        <v>63</v>
      </c>
      <c r="B53" s="3">
        <v>44986</v>
      </c>
      <c r="C53">
        <f>SUM(C2:C52)</f>
        <v>86964268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017E0-0CCA-4F1E-AF7D-1E1C72BF1483}">
  <dimension ref="A1:E261"/>
  <sheetViews>
    <sheetView tabSelected="1" workbookViewId="0">
      <selection activeCell="D1" sqref="D1"/>
    </sheetView>
  </sheetViews>
  <sheetFormatPr defaultRowHeight="14.5" x14ac:dyDescent="0.35"/>
  <cols>
    <col min="1" max="1" width="17.81640625" bestFit="1" customWidth="1"/>
    <col min="2" max="2" width="15.54296875" bestFit="1" customWidth="1"/>
    <col min="3" max="3" width="20.1796875" bestFit="1" customWidth="1"/>
    <col min="4" max="4" width="24.08984375" bestFit="1" customWidth="1"/>
    <col min="5" max="5" width="32.81640625" bestFit="1" customWidth="1"/>
  </cols>
  <sheetData>
    <row r="1" spans="1:5" x14ac:dyDescent="0.35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35">
      <c r="A2" t="s">
        <v>0</v>
      </c>
      <c r="B2" s="3">
        <v>45992</v>
      </c>
      <c r="C2">
        <v>12846</v>
      </c>
      <c r="D2">
        <f>E2-C2</f>
        <v>72260</v>
      </c>
      <c r="E2">
        <v>85106</v>
      </c>
    </row>
    <row r="3" spans="1:5" x14ac:dyDescent="0.35">
      <c r="A3" t="s">
        <v>1</v>
      </c>
      <c r="B3" s="3">
        <v>45992</v>
      </c>
      <c r="C3">
        <v>193204</v>
      </c>
      <c r="D3">
        <f t="shared" ref="D3:D66" si="0">E3-C3</f>
        <v>478657</v>
      </c>
      <c r="E3">
        <v>671861</v>
      </c>
    </row>
    <row r="4" spans="1:5" x14ac:dyDescent="0.35">
      <c r="A4" t="s">
        <v>2</v>
      </c>
      <c r="B4" s="3">
        <v>45992</v>
      </c>
      <c r="C4">
        <v>83497</v>
      </c>
      <c r="D4">
        <f t="shared" si="0"/>
        <v>330927</v>
      </c>
      <c r="E4">
        <v>414424</v>
      </c>
    </row>
    <row r="5" spans="1:5" x14ac:dyDescent="0.35">
      <c r="A5" t="s">
        <v>3</v>
      </c>
      <c r="B5" s="3">
        <v>45992</v>
      </c>
      <c r="C5">
        <v>112634</v>
      </c>
      <c r="D5">
        <f t="shared" si="0"/>
        <v>621988</v>
      </c>
      <c r="E5">
        <v>734622</v>
      </c>
    </row>
    <row r="6" spans="1:5" x14ac:dyDescent="0.35">
      <c r="A6" t="s">
        <v>4</v>
      </c>
      <c r="B6" s="3">
        <v>45992</v>
      </c>
      <c r="C6">
        <v>1228746</v>
      </c>
      <c r="D6">
        <f t="shared" si="0"/>
        <v>3374880</v>
      </c>
      <c r="E6">
        <v>4603626</v>
      </c>
    </row>
    <row r="7" spans="1:5" x14ac:dyDescent="0.35">
      <c r="A7" t="s">
        <v>5</v>
      </c>
      <c r="B7" s="3">
        <v>45992</v>
      </c>
      <c r="C7">
        <v>140079</v>
      </c>
      <c r="D7">
        <f t="shared" si="0"/>
        <v>384018</v>
      </c>
      <c r="E7">
        <v>524097</v>
      </c>
    </row>
    <row r="8" spans="1:5" x14ac:dyDescent="0.35">
      <c r="A8" t="s">
        <v>6</v>
      </c>
      <c r="B8" s="3">
        <v>45992</v>
      </c>
      <c r="C8">
        <v>25323</v>
      </c>
      <c r="D8">
        <f t="shared" si="0"/>
        <v>339796</v>
      </c>
      <c r="E8">
        <v>365119</v>
      </c>
    </row>
    <row r="9" spans="1:5" x14ac:dyDescent="0.35">
      <c r="A9" t="s">
        <v>7</v>
      </c>
      <c r="B9" s="3">
        <v>45992</v>
      </c>
      <c r="C9">
        <v>16284</v>
      </c>
      <c r="D9">
        <f t="shared" si="0"/>
        <v>77957</v>
      </c>
      <c r="E9">
        <v>94241</v>
      </c>
    </row>
    <row r="10" spans="1:5" x14ac:dyDescent="0.35">
      <c r="A10" t="s">
        <v>8</v>
      </c>
      <c r="B10" s="3">
        <v>45992</v>
      </c>
      <c r="C10">
        <v>13989</v>
      </c>
      <c r="D10">
        <f t="shared" si="0"/>
        <v>92718</v>
      </c>
      <c r="E10">
        <v>106707</v>
      </c>
    </row>
    <row r="11" spans="1:5" x14ac:dyDescent="0.35">
      <c r="A11" t="s">
        <v>9</v>
      </c>
      <c r="B11" s="3">
        <v>45992</v>
      </c>
      <c r="C11">
        <v>160955</v>
      </c>
      <c r="D11">
        <f t="shared" si="0"/>
        <v>2156084</v>
      </c>
      <c r="E11">
        <v>2317039</v>
      </c>
    </row>
    <row r="12" spans="1:5" x14ac:dyDescent="0.35">
      <c r="A12" t="s">
        <v>10</v>
      </c>
      <c r="B12" s="3">
        <v>45992</v>
      </c>
      <c r="C12">
        <v>185500</v>
      </c>
      <c r="D12">
        <f t="shared" si="0"/>
        <v>1122113</v>
      </c>
      <c r="E12">
        <v>1307613</v>
      </c>
    </row>
    <row r="13" spans="1:5" x14ac:dyDescent="0.35">
      <c r="A13" t="s">
        <v>11</v>
      </c>
      <c r="B13" s="3">
        <v>45992</v>
      </c>
      <c r="C13">
        <v>24762</v>
      </c>
      <c r="D13">
        <f t="shared" si="0"/>
        <v>128215</v>
      </c>
      <c r="E13">
        <v>152977</v>
      </c>
    </row>
    <row r="14" spans="1:5" x14ac:dyDescent="0.35">
      <c r="A14" t="s">
        <v>12</v>
      </c>
      <c r="B14" s="3">
        <v>45992</v>
      </c>
      <c r="C14">
        <v>84972</v>
      </c>
      <c r="D14">
        <f t="shared" si="0"/>
        <v>244819</v>
      </c>
      <c r="E14">
        <v>329791</v>
      </c>
    </row>
    <row r="15" spans="1:5" x14ac:dyDescent="0.35">
      <c r="A15" t="s">
        <v>13</v>
      </c>
      <c r="B15" s="3">
        <v>45992</v>
      </c>
      <c r="C15">
        <v>19667</v>
      </c>
      <c r="D15">
        <f t="shared" si="0"/>
        <v>132072</v>
      </c>
      <c r="E15">
        <v>151739</v>
      </c>
    </row>
    <row r="16" spans="1:5" x14ac:dyDescent="0.35">
      <c r="A16" t="s">
        <v>14</v>
      </c>
      <c r="B16" s="3">
        <v>45992</v>
      </c>
      <c r="C16">
        <v>318336</v>
      </c>
      <c r="D16">
        <f t="shared" si="0"/>
        <v>1033485</v>
      </c>
      <c r="E16">
        <v>1351821</v>
      </c>
    </row>
    <row r="17" spans="1:5" x14ac:dyDescent="0.35">
      <c r="A17" t="s">
        <v>15</v>
      </c>
      <c r="B17" s="3">
        <v>45992</v>
      </c>
      <c r="C17">
        <v>122727</v>
      </c>
      <c r="D17">
        <f t="shared" si="0"/>
        <v>580536</v>
      </c>
      <c r="E17">
        <v>703263</v>
      </c>
    </row>
    <row r="18" spans="1:5" x14ac:dyDescent="0.35">
      <c r="A18" t="s">
        <v>16</v>
      </c>
      <c r="B18" s="3">
        <v>45992</v>
      </c>
      <c r="C18">
        <v>72590</v>
      </c>
      <c r="D18">
        <f t="shared" si="0"/>
        <v>203426</v>
      </c>
      <c r="E18">
        <v>276016</v>
      </c>
    </row>
    <row r="19" spans="1:5" x14ac:dyDescent="0.35">
      <c r="A19" t="s">
        <v>17</v>
      </c>
      <c r="B19" s="3">
        <v>45992</v>
      </c>
      <c r="C19">
        <v>132867</v>
      </c>
      <c r="D19">
        <f t="shared" si="0"/>
        <v>468797</v>
      </c>
      <c r="E19">
        <v>601664</v>
      </c>
    </row>
    <row r="20" spans="1:5" x14ac:dyDescent="0.35">
      <c r="A20" t="s">
        <v>18</v>
      </c>
      <c r="B20" s="3">
        <v>45992</v>
      </c>
      <c r="C20">
        <v>137321</v>
      </c>
      <c r="D20">
        <f t="shared" si="0"/>
        <v>542015</v>
      </c>
      <c r="E20">
        <v>679336</v>
      </c>
    </row>
    <row r="21" spans="1:5" x14ac:dyDescent="0.35">
      <c r="A21" t="s">
        <v>19</v>
      </c>
      <c r="B21" s="3">
        <v>45992</v>
      </c>
      <c r="C21">
        <v>191201</v>
      </c>
      <c r="D21">
        <f t="shared" si="0"/>
        <v>495496</v>
      </c>
      <c r="E21">
        <v>686697</v>
      </c>
    </row>
    <row r="22" spans="1:5" x14ac:dyDescent="0.35">
      <c r="A22" t="s">
        <v>20</v>
      </c>
      <c r="B22" s="3">
        <v>45992</v>
      </c>
      <c r="C22">
        <v>196621</v>
      </c>
      <c r="D22">
        <f t="shared" si="0"/>
        <v>471601</v>
      </c>
      <c r="E22">
        <v>668222</v>
      </c>
    </row>
    <row r="23" spans="1:5" x14ac:dyDescent="0.35">
      <c r="A23" t="s">
        <v>21</v>
      </c>
      <c r="B23" s="3">
        <v>45992</v>
      </c>
      <c r="C23">
        <v>27136</v>
      </c>
      <c r="D23">
        <f t="shared" si="0"/>
        <v>112126</v>
      </c>
      <c r="E23">
        <v>139262</v>
      </c>
    </row>
    <row r="24" spans="1:5" x14ac:dyDescent="0.35">
      <c r="A24" t="s">
        <v>22</v>
      </c>
      <c r="B24" s="3">
        <v>45992</v>
      </c>
      <c r="C24">
        <v>167087</v>
      </c>
      <c r="D24">
        <f t="shared" si="0"/>
        <v>719044</v>
      </c>
      <c r="E24">
        <v>886131</v>
      </c>
    </row>
    <row r="25" spans="1:5" x14ac:dyDescent="0.35">
      <c r="A25" t="s">
        <v>23</v>
      </c>
      <c r="B25" s="3">
        <v>45992</v>
      </c>
      <c r="C25">
        <v>4226</v>
      </c>
      <c r="D25">
        <f t="shared" si="0"/>
        <v>595889</v>
      </c>
      <c r="E25">
        <v>600115</v>
      </c>
    </row>
    <row r="26" spans="1:5" x14ac:dyDescent="0.35">
      <c r="A26" t="s">
        <v>24</v>
      </c>
      <c r="B26" s="3">
        <v>45992</v>
      </c>
      <c r="C26">
        <v>133560</v>
      </c>
      <c r="D26">
        <f t="shared" si="0"/>
        <v>438709</v>
      </c>
      <c r="E26">
        <v>572269</v>
      </c>
    </row>
    <row r="27" spans="1:5" x14ac:dyDescent="0.35">
      <c r="A27" t="s">
        <v>25</v>
      </c>
      <c r="B27" s="3">
        <v>45992</v>
      </c>
      <c r="C27">
        <v>83623</v>
      </c>
      <c r="D27">
        <f t="shared" si="0"/>
        <v>309341</v>
      </c>
      <c r="E27">
        <v>392964</v>
      </c>
    </row>
    <row r="28" spans="1:5" x14ac:dyDescent="0.35">
      <c r="A28" t="s">
        <v>26</v>
      </c>
      <c r="B28" s="3">
        <v>45992</v>
      </c>
      <c r="C28">
        <v>19767</v>
      </c>
      <c r="D28">
        <f t="shared" si="0"/>
        <v>70010</v>
      </c>
      <c r="E28">
        <v>89777</v>
      </c>
    </row>
    <row r="29" spans="1:5" x14ac:dyDescent="0.35">
      <c r="A29" t="s">
        <v>27</v>
      </c>
      <c r="B29" s="3">
        <v>45992</v>
      </c>
      <c r="C29">
        <v>344953</v>
      </c>
      <c r="D29">
        <f t="shared" si="0"/>
        <v>1076325</v>
      </c>
      <c r="E29">
        <v>1421278</v>
      </c>
    </row>
    <row r="30" spans="1:5" x14ac:dyDescent="0.35">
      <c r="A30" t="s">
        <v>28</v>
      </c>
      <c r="B30" s="3">
        <v>45992</v>
      </c>
      <c r="C30">
        <v>5387</v>
      </c>
      <c r="D30">
        <f t="shared" si="0"/>
        <v>45451</v>
      </c>
      <c r="E30">
        <v>50838</v>
      </c>
    </row>
    <row r="31" spans="1:5" x14ac:dyDescent="0.35">
      <c r="A31" t="s">
        <v>29</v>
      </c>
      <c r="B31" s="3">
        <v>45992</v>
      </c>
      <c r="C31">
        <v>36847</v>
      </c>
      <c r="D31">
        <f t="shared" si="0"/>
        <v>133517</v>
      </c>
      <c r="E31">
        <v>170364</v>
      </c>
    </row>
    <row r="32" spans="1:5" x14ac:dyDescent="0.35">
      <c r="A32" t="s">
        <v>30</v>
      </c>
      <c r="B32" s="3">
        <v>45992</v>
      </c>
      <c r="C32">
        <v>18988</v>
      </c>
      <c r="D32">
        <f t="shared" si="0"/>
        <v>67121</v>
      </c>
      <c r="E32">
        <v>86109</v>
      </c>
    </row>
    <row r="33" spans="1:5" x14ac:dyDescent="0.35">
      <c r="A33" t="s">
        <v>31</v>
      </c>
      <c r="B33" s="3">
        <v>45992</v>
      </c>
      <c r="C33">
        <v>258231</v>
      </c>
      <c r="D33">
        <f t="shared" si="0"/>
        <v>547676</v>
      </c>
      <c r="E33">
        <v>805907</v>
      </c>
    </row>
    <row r="34" spans="1:5" x14ac:dyDescent="0.35">
      <c r="A34" t="s">
        <v>32</v>
      </c>
      <c r="B34" s="3">
        <v>45992</v>
      </c>
      <c r="C34">
        <v>43713</v>
      </c>
      <c r="D34">
        <f t="shared" si="0"/>
        <v>264832</v>
      </c>
      <c r="E34">
        <v>308545</v>
      </c>
    </row>
    <row r="35" spans="1:5" x14ac:dyDescent="0.35">
      <c r="A35" t="s">
        <v>33</v>
      </c>
      <c r="B35" s="3">
        <v>45992</v>
      </c>
      <c r="C35">
        <v>47076</v>
      </c>
      <c r="D35">
        <f t="shared" si="0"/>
        <v>268668</v>
      </c>
      <c r="E35">
        <v>315744</v>
      </c>
    </row>
    <row r="36" spans="1:5" x14ac:dyDescent="0.35">
      <c r="A36" t="s">
        <v>34</v>
      </c>
      <c r="B36" s="3">
        <v>45992</v>
      </c>
      <c r="C36">
        <v>662420</v>
      </c>
      <c r="D36">
        <f t="shared" si="0"/>
        <v>1796810</v>
      </c>
      <c r="E36">
        <v>2459230</v>
      </c>
    </row>
    <row r="37" spans="1:5" x14ac:dyDescent="0.35">
      <c r="A37" t="s">
        <v>35</v>
      </c>
      <c r="B37" s="3">
        <v>45992</v>
      </c>
      <c r="C37">
        <v>242337</v>
      </c>
      <c r="D37">
        <f t="shared" si="0"/>
        <v>931820</v>
      </c>
      <c r="E37">
        <v>1174157</v>
      </c>
    </row>
    <row r="38" spans="1:5" x14ac:dyDescent="0.35">
      <c r="A38" t="s">
        <v>36</v>
      </c>
      <c r="B38" s="3">
        <v>45992</v>
      </c>
      <c r="C38">
        <v>79005</v>
      </c>
      <c r="D38">
        <f t="shared" si="0"/>
        <v>428820</v>
      </c>
      <c r="E38">
        <v>507825</v>
      </c>
    </row>
    <row r="39" spans="1:5" x14ac:dyDescent="0.35">
      <c r="A39" t="s">
        <v>37</v>
      </c>
      <c r="B39" s="3">
        <v>45992</v>
      </c>
      <c r="C39">
        <v>183955</v>
      </c>
      <c r="D39">
        <f t="shared" si="0"/>
        <v>286936</v>
      </c>
      <c r="E39">
        <v>470891</v>
      </c>
    </row>
    <row r="40" spans="1:5" x14ac:dyDescent="0.35">
      <c r="A40" t="s">
        <v>38</v>
      </c>
      <c r="B40" s="3">
        <v>45992</v>
      </c>
      <c r="C40">
        <v>280410</v>
      </c>
      <c r="D40">
        <f t="shared" si="0"/>
        <v>1126771</v>
      </c>
      <c r="E40">
        <v>1407181</v>
      </c>
    </row>
    <row r="41" spans="1:5" x14ac:dyDescent="0.35">
      <c r="A41" t="s">
        <v>39</v>
      </c>
      <c r="B41" s="3">
        <v>45992</v>
      </c>
      <c r="C41">
        <v>33704</v>
      </c>
      <c r="D41">
        <f t="shared" si="0"/>
        <v>84749</v>
      </c>
      <c r="E41">
        <v>118453</v>
      </c>
    </row>
    <row r="42" spans="1:5" x14ac:dyDescent="0.35">
      <c r="A42" t="s">
        <v>40</v>
      </c>
      <c r="B42" s="3">
        <v>45992</v>
      </c>
      <c r="C42">
        <v>112832</v>
      </c>
      <c r="D42">
        <f t="shared" si="0"/>
        <v>492210</v>
      </c>
      <c r="E42">
        <v>605042</v>
      </c>
    </row>
    <row r="43" spans="1:5" x14ac:dyDescent="0.35">
      <c r="A43" t="s">
        <v>41</v>
      </c>
      <c r="B43" s="3">
        <v>45992</v>
      </c>
      <c r="C43">
        <v>14418</v>
      </c>
      <c r="D43">
        <f t="shared" si="0"/>
        <v>61966</v>
      </c>
      <c r="E43">
        <v>76384</v>
      </c>
    </row>
    <row r="44" spans="1:5" x14ac:dyDescent="0.35">
      <c r="A44" t="s">
        <v>42</v>
      </c>
      <c r="B44" s="3">
        <v>45992</v>
      </c>
      <c r="C44">
        <v>181780</v>
      </c>
      <c r="D44">
        <f t="shared" si="0"/>
        <v>648081</v>
      </c>
      <c r="E44">
        <v>829861</v>
      </c>
    </row>
    <row r="45" spans="1:5" x14ac:dyDescent="0.35">
      <c r="A45" t="s">
        <v>43</v>
      </c>
      <c r="B45" s="3">
        <v>45992</v>
      </c>
      <c r="C45">
        <v>344976</v>
      </c>
      <c r="D45">
        <f t="shared" si="0"/>
        <v>2767793</v>
      </c>
      <c r="E45">
        <v>3112769</v>
      </c>
    </row>
    <row r="46" spans="1:5" x14ac:dyDescent="0.35">
      <c r="A46" t="s">
        <v>44</v>
      </c>
      <c r="B46" s="3">
        <v>45992</v>
      </c>
      <c r="C46">
        <v>34612</v>
      </c>
      <c r="D46">
        <f t="shared" si="0"/>
        <v>131109</v>
      </c>
      <c r="E46">
        <v>165721</v>
      </c>
    </row>
    <row r="47" spans="1:5" x14ac:dyDescent="0.35">
      <c r="A47" t="s">
        <v>45</v>
      </c>
      <c r="B47" s="3">
        <v>45992</v>
      </c>
      <c r="C47">
        <v>193509</v>
      </c>
      <c r="D47">
        <f t="shared" si="0"/>
        <v>606633</v>
      </c>
      <c r="E47">
        <v>800142</v>
      </c>
    </row>
    <row r="48" spans="1:5" x14ac:dyDescent="0.35">
      <c r="A48" t="s">
        <v>46</v>
      </c>
      <c r="B48" s="3">
        <v>45992</v>
      </c>
      <c r="C48">
        <v>5393</v>
      </c>
      <c r="D48">
        <f t="shared" si="0"/>
        <v>51977</v>
      </c>
      <c r="E48">
        <v>57370</v>
      </c>
    </row>
    <row r="49" spans="1:5" x14ac:dyDescent="0.35">
      <c r="A49" t="s">
        <v>47</v>
      </c>
      <c r="B49" s="3">
        <v>45992</v>
      </c>
      <c r="C49">
        <v>64618</v>
      </c>
      <c r="D49">
        <f t="shared" si="0"/>
        <v>753547</v>
      </c>
      <c r="E49">
        <v>818165</v>
      </c>
    </row>
    <row r="50" spans="1:5" x14ac:dyDescent="0.35">
      <c r="A50" t="s">
        <v>48</v>
      </c>
      <c r="B50" s="3">
        <v>45992</v>
      </c>
      <c r="C50">
        <v>99749</v>
      </c>
      <c r="D50">
        <f t="shared" si="0"/>
        <v>436558</v>
      </c>
      <c r="E50">
        <v>536307</v>
      </c>
    </row>
    <row r="51" spans="1:5" x14ac:dyDescent="0.35">
      <c r="A51" t="s">
        <v>49</v>
      </c>
      <c r="B51" s="3">
        <v>45992</v>
      </c>
      <c r="C51">
        <v>39681</v>
      </c>
      <c r="D51">
        <f t="shared" si="0"/>
        <v>155044</v>
      </c>
      <c r="E51">
        <v>194725</v>
      </c>
    </row>
    <row r="52" spans="1:5" x14ac:dyDescent="0.35">
      <c r="A52" t="s">
        <v>50</v>
      </c>
      <c r="B52" s="3">
        <v>45992</v>
      </c>
      <c r="C52">
        <v>5847</v>
      </c>
      <c r="D52">
        <f t="shared" si="0"/>
        <v>34422</v>
      </c>
      <c r="E52">
        <v>40269</v>
      </c>
    </row>
    <row r="53" spans="1:5" x14ac:dyDescent="0.35">
      <c r="A53" s="1" t="s">
        <v>63</v>
      </c>
      <c r="B53" s="8">
        <v>45992</v>
      </c>
      <c r="C53" s="1">
        <f>SUM(C2:C52)</f>
        <v>7243961</v>
      </c>
      <c r="D53" s="1">
        <f>E53-C53</f>
        <v>28795815</v>
      </c>
      <c r="E53" s="1">
        <f>SUM(E2:E52)</f>
        <v>36039776</v>
      </c>
    </row>
    <row r="54" spans="1:5" x14ac:dyDescent="0.35">
      <c r="A54" t="s">
        <v>0</v>
      </c>
      <c r="B54" s="3">
        <v>46023</v>
      </c>
      <c r="C54">
        <v>12869</v>
      </c>
      <c r="D54">
        <f t="shared" si="0"/>
        <v>72099</v>
      </c>
      <c r="E54">
        <v>84968</v>
      </c>
    </row>
    <row r="55" spans="1:5" x14ac:dyDescent="0.35">
      <c r="A55" t="s">
        <v>1</v>
      </c>
      <c r="B55" s="3">
        <v>46023</v>
      </c>
      <c r="C55">
        <v>194604</v>
      </c>
      <c r="D55">
        <f t="shared" si="0"/>
        <v>475673</v>
      </c>
      <c r="E55">
        <v>670277</v>
      </c>
    </row>
    <row r="56" spans="1:5" x14ac:dyDescent="0.35">
      <c r="A56" t="s">
        <v>2</v>
      </c>
      <c r="B56" s="3">
        <v>46023</v>
      </c>
      <c r="C56">
        <v>84160</v>
      </c>
      <c r="D56">
        <f t="shared" si="0"/>
        <v>314788</v>
      </c>
      <c r="E56">
        <v>398948</v>
      </c>
    </row>
    <row r="57" spans="1:5" x14ac:dyDescent="0.35">
      <c r="A57" t="s">
        <v>3</v>
      </c>
      <c r="B57" s="3">
        <v>46023</v>
      </c>
      <c r="C57">
        <v>112545</v>
      </c>
      <c r="D57">
        <f t="shared" si="0"/>
        <v>616066</v>
      </c>
      <c r="E57">
        <v>728611</v>
      </c>
    </row>
    <row r="58" spans="1:5" x14ac:dyDescent="0.35">
      <c r="A58" t="s">
        <v>4</v>
      </c>
      <c r="B58" s="3">
        <v>46023</v>
      </c>
      <c r="C58">
        <v>1237976</v>
      </c>
      <c r="D58">
        <f t="shared" si="0"/>
        <v>3344819</v>
      </c>
      <c r="E58">
        <v>4582795</v>
      </c>
    </row>
    <row r="59" spans="1:5" x14ac:dyDescent="0.35">
      <c r="A59" t="s">
        <v>5</v>
      </c>
      <c r="B59" s="3">
        <v>46023</v>
      </c>
      <c r="C59">
        <v>140483</v>
      </c>
      <c r="D59">
        <f t="shared" si="0"/>
        <v>384184</v>
      </c>
      <c r="E59">
        <v>524667</v>
      </c>
    </row>
    <row r="60" spans="1:5" x14ac:dyDescent="0.35">
      <c r="A60" t="s">
        <v>6</v>
      </c>
      <c r="B60" s="3">
        <v>46023</v>
      </c>
      <c r="C60">
        <v>25561</v>
      </c>
      <c r="D60">
        <f t="shared" si="0"/>
        <v>339462</v>
      </c>
      <c r="E60">
        <v>365023</v>
      </c>
    </row>
    <row r="61" spans="1:5" x14ac:dyDescent="0.35">
      <c r="A61" t="s">
        <v>7</v>
      </c>
      <c r="B61" s="3">
        <v>46023</v>
      </c>
      <c r="C61">
        <v>16165</v>
      </c>
      <c r="D61">
        <f t="shared" si="0"/>
        <v>77092</v>
      </c>
      <c r="E61">
        <v>93257</v>
      </c>
    </row>
    <row r="62" spans="1:5" x14ac:dyDescent="0.35">
      <c r="A62" t="s">
        <v>8</v>
      </c>
      <c r="B62" s="3">
        <v>46023</v>
      </c>
      <c r="C62">
        <v>13946</v>
      </c>
      <c r="D62">
        <f t="shared" si="0"/>
        <v>92155</v>
      </c>
      <c r="E62">
        <v>106101</v>
      </c>
    </row>
    <row r="63" spans="1:5" x14ac:dyDescent="0.35">
      <c r="A63" t="s">
        <v>9</v>
      </c>
      <c r="B63" s="3">
        <v>46023</v>
      </c>
      <c r="C63">
        <v>163022</v>
      </c>
      <c r="D63">
        <f t="shared" si="0"/>
        <v>2149852</v>
      </c>
      <c r="E63">
        <v>2312874</v>
      </c>
    </row>
    <row r="64" spans="1:5" x14ac:dyDescent="0.35">
      <c r="A64" t="s">
        <v>10</v>
      </c>
      <c r="B64" s="3">
        <v>46023</v>
      </c>
      <c r="C64">
        <v>183456</v>
      </c>
      <c r="D64">
        <f t="shared" si="0"/>
        <v>1120215</v>
      </c>
      <c r="E64">
        <v>1303671</v>
      </c>
    </row>
    <row r="65" spans="1:5" x14ac:dyDescent="0.35">
      <c r="A65" t="s">
        <v>11</v>
      </c>
      <c r="B65" s="3">
        <v>46023</v>
      </c>
      <c r="C65">
        <v>25342</v>
      </c>
      <c r="D65">
        <f t="shared" si="0"/>
        <v>128004</v>
      </c>
      <c r="E65">
        <v>153346</v>
      </c>
    </row>
    <row r="66" spans="1:5" x14ac:dyDescent="0.35">
      <c r="A66" t="s">
        <v>12</v>
      </c>
      <c r="B66" s="3">
        <v>46023</v>
      </c>
      <c r="C66">
        <v>84760</v>
      </c>
      <c r="D66">
        <f t="shared" si="0"/>
        <v>244633</v>
      </c>
      <c r="E66">
        <v>329393</v>
      </c>
    </row>
    <row r="67" spans="1:5" x14ac:dyDescent="0.35">
      <c r="A67" t="s">
        <v>13</v>
      </c>
      <c r="B67" s="3">
        <v>46023</v>
      </c>
      <c r="C67">
        <v>19587</v>
      </c>
      <c r="D67">
        <f t="shared" ref="D67:D130" si="1">E67-C67</f>
        <v>131618</v>
      </c>
      <c r="E67">
        <v>151205</v>
      </c>
    </row>
    <row r="68" spans="1:5" x14ac:dyDescent="0.35">
      <c r="A68" t="s">
        <v>14</v>
      </c>
      <c r="B68" s="3">
        <v>46023</v>
      </c>
      <c r="C68">
        <v>320864</v>
      </c>
      <c r="D68">
        <f t="shared" si="1"/>
        <v>1026432</v>
      </c>
      <c r="E68">
        <v>1347296</v>
      </c>
    </row>
    <row r="69" spans="1:5" x14ac:dyDescent="0.35">
      <c r="A69" t="s">
        <v>15</v>
      </c>
      <c r="B69" s="3">
        <v>46023</v>
      </c>
      <c r="C69">
        <v>122313</v>
      </c>
      <c r="D69">
        <f t="shared" si="1"/>
        <v>571991</v>
      </c>
      <c r="E69">
        <v>694304</v>
      </c>
    </row>
    <row r="70" spans="1:5" x14ac:dyDescent="0.35">
      <c r="A70" t="s">
        <v>16</v>
      </c>
      <c r="B70" s="3">
        <v>46023</v>
      </c>
      <c r="C70">
        <v>72803</v>
      </c>
      <c r="D70">
        <f t="shared" si="1"/>
        <v>204313</v>
      </c>
      <c r="E70">
        <v>277116</v>
      </c>
    </row>
    <row r="71" spans="1:5" x14ac:dyDescent="0.35">
      <c r="A71" t="s">
        <v>17</v>
      </c>
      <c r="B71" s="3">
        <v>46023</v>
      </c>
      <c r="C71">
        <v>134031</v>
      </c>
      <c r="D71">
        <f t="shared" si="1"/>
        <v>465575</v>
      </c>
      <c r="E71">
        <v>599606</v>
      </c>
    </row>
    <row r="72" spans="1:5" x14ac:dyDescent="0.35">
      <c r="A72" t="s">
        <v>18</v>
      </c>
      <c r="B72" s="3">
        <v>46023</v>
      </c>
      <c r="C72">
        <v>137043</v>
      </c>
      <c r="D72">
        <f t="shared" si="1"/>
        <v>540363</v>
      </c>
      <c r="E72">
        <v>677406</v>
      </c>
    </row>
    <row r="73" spans="1:5" x14ac:dyDescent="0.35">
      <c r="A73" t="s">
        <v>19</v>
      </c>
      <c r="B73" s="3">
        <v>46023</v>
      </c>
      <c r="C73">
        <v>188257</v>
      </c>
      <c r="D73">
        <f t="shared" si="1"/>
        <v>494694</v>
      </c>
      <c r="E73">
        <v>682951</v>
      </c>
    </row>
    <row r="74" spans="1:5" x14ac:dyDescent="0.35">
      <c r="A74" t="s">
        <v>20</v>
      </c>
      <c r="B74" s="3">
        <v>46023</v>
      </c>
      <c r="C74">
        <v>196171</v>
      </c>
      <c r="D74">
        <f t="shared" si="1"/>
        <v>469788</v>
      </c>
      <c r="E74">
        <v>665959</v>
      </c>
    </row>
    <row r="75" spans="1:5" x14ac:dyDescent="0.35">
      <c r="A75" t="s">
        <v>21</v>
      </c>
      <c r="B75" s="3">
        <v>46023</v>
      </c>
      <c r="C75">
        <v>21431</v>
      </c>
      <c r="D75">
        <f t="shared" si="1"/>
        <v>117119</v>
      </c>
      <c r="E75">
        <v>138550</v>
      </c>
    </row>
    <row r="76" spans="1:5" x14ac:dyDescent="0.35">
      <c r="A76" t="s">
        <v>22</v>
      </c>
      <c r="B76" s="3">
        <v>46023</v>
      </c>
      <c r="C76">
        <v>167306</v>
      </c>
      <c r="D76">
        <f t="shared" si="1"/>
        <v>717135</v>
      </c>
      <c r="E76">
        <v>884441</v>
      </c>
    </row>
    <row r="77" spans="1:5" x14ac:dyDescent="0.35">
      <c r="A77" t="s">
        <v>23</v>
      </c>
      <c r="B77" s="3">
        <v>46023</v>
      </c>
      <c r="C77">
        <v>4104</v>
      </c>
      <c r="D77">
        <f t="shared" si="1"/>
        <v>592845</v>
      </c>
      <c r="E77">
        <v>596949</v>
      </c>
    </row>
    <row r="78" spans="1:5" x14ac:dyDescent="0.35">
      <c r="A78" t="s">
        <v>24</v>
      </c>
      <c r="B78" s="3">
        <v>46023</v>
      </c>
      <c r="C78">
        <v>134247</v>
      </c>
      <c r="D78">
        <f t="shared" si="1"/>
        <v>435543</v>
      </c>
      <c r="E78">
        <v>569790</v>
      </c>
    </row>
    <row r="79" spans="1:5" x14ac:dyDescent="0.35">
      <c r="A79" t="s">
        <v>25</v>
      </c>
      <c r="B79" s="3">
        <v>46023</v>
      </c>
      <c r="C79">
        <v>83703</v>
      </c>
      <c r="D79">
        <f t="shared" si="1"/>
        <v>309019</v>
      </c>
      <c r="E79">
        <v>392722</v>
      </c>
    </row>
    <row r="80" spans="1:5" x14ac:dyDescent="0.35">
      <c r="A80" t="s">
        <v>26</v>
      </c>
      <c r="B80" s="3">
        <v>46023</v>
      </c>
      <c r="C80">
        <v>19792</v>
      </c>
      <c r="D80">
        <f t="shared" si="1"/>
        <v>69677</v>
      </c>
      <c r="E80">
        <v>89469</v>
      </c>
    </row>
    <row r="81" spans="1:5" x14ac:dyDescent="0.35">
      <c r="A81" t="s">
        <v>27</v>
      </c>
      <c r="B81" s="3">
        <v>46023</v>
      </c>
      <c r="C81">
        <v>344352</v>
      </c>
      <c r="D81">
        <f t="shared" si="1"/>
        <v>1068704</v>
      </c>
      <c r="E81">
        <v>1413056</v>
      </c>
    </row>
    <row r="82" spans="1:5" x14ac:dyDescent="0.35">
      <c r="A82" t="s">
        <v>28</v>
      </c>
      <c r="B82" s="3">
        <v>46023</v>
      </c>
      <c r="C82">
        <v>5414</v>
      </c>
      <c r="D82">
        <f t="shared" si="1"/>
        <v>45311</v>
      </c>
      <c r="E82">
        <v>50725</v>
      </c>
    </row>
    <row r="83" spans="1:5" x14ac:dyDescent="0.35">
      <c r="A83" t="s">
        <v>29</v>
      </c>
      <c r="B83" s="3">
        <v>46023</v>
      </c>
      <c r="C83">
        <v>37249</v>
      </c>
      <c r="D83">
        <f t="shared" si="1"/>
        <v>133593</v>
      </c>
      <c r="E83">
        <v>170842</v>
      </c>
    </row>
    <row r="84" spans="1:5" x14ac:dyDescent="0.35">
      <c r="A84" t="s">
        <v>30</v>
      </c>
      <c r="B84" s="3">
        <v>46023</v>
      </c>
      <c r="C84">
        <v>18907</v>
      </c>
      <c r="D84">
        <f t="shared" si="1"/>
        <v>66696</v>
      </c>
      <c r="E84">
        <v>85603</v>
      </c>
    </row>
    <row r="85" spans="1:5" x14ac:dyDescent="0.35">
      <c r="A85" t="s">
        <v>31</v>
      </c>
      <c r="B85" s="3">
        <v>46023</v>
      </c>
      <c r="C85">
        <v>256572</v>
      </c>
      <c r="D85">
        <f t="shared" si="1"/>
        <v>544559</v>
      </c>
      <c r="E85">
        <v>801131</v>
      </c>
    </row>
    <row r="86" spans="1:5" x14ac:dyDescent="0.35">
      <c r="A86" t="s">
        <v>32</v>
      </c>
      <c r="B86" s="3">
        <v>46023</v>
      </c>
      <c r="C86">
        <v>44018</v>
      </c>
      <c r="D86">
        <f t="shared" si="1"/>
        <v>263930</v>
      </c>
      <c r="E86">
        <v>307948</v>
      </c>
    </row>
    <row r="87" spans="1:5" x14ac:dyDescent="0.35">
      <c r="A87" t="s">
        <v>33</v>
      </c>
      <c r="B87" s="3">
        <v>46023</v>
      </c>
      <c r="C87">
        <v>47335</v>
      </c>
      <c r="D87">
        <f t="shared" si="1"/>
        <v>268603</v>
      </c>
      <c r="E87">
        <v>315938</v>
      </c>
    </row>
    <row r="88" spans="1:5" x14ac:dyDescent="0.35">
      <c r="A88" t="s">
        <v>34</v>
      </c>
      <c r="B88" s="3">
        <v>46023</v>
      </c>
      <c r="C88">
        <v>659617</v>
      </c>
      <c r="D88">
        <f t="shared" si="1"/>
        <v>1789550</v>
      </c>
      <c r="E88">
        <v>2449167</v>
      </c>
    </row>
    <row r="89" spans="1:5" x14ac:dyDescent="0.35">
      <c r="A89" t="s">
        <v>35</v>
      </c>
      <c r="B89" s="3">
        <v>46023</v>
      </c>
      <c r="C89">
        <v>242200</v>
      </c>
      <c r="D89">
        <f t="shared" si="1"/>
        <v>920812</v>
      </c>
      <c r="E89">
        <v>1163012</v>
      </c>
    </row>
    <row r="90" spans="1:5" x14ac:dyDescent="0.35">
      <c r="A90" t="s">
        <v>36</v>
      </c>
      <c r="B90" s="3">
        <v>46023</v>
      </c>
      <c r="C90">
        <v>74717</v>
      </c>
      <c r="D90">
        <f t="shared" si="1"/>
        <v>428400</v>
      </c>
      <c r="E90">
        <v>503117</v>
      </c>
    </row>
    <row r="91" spans="1:5" x14ac:dyDescent="0.35">
      <c r="A91" t="s">
        <v>37</v>
      </c>
      <c r="B91" s="3">
        <v>46023</v>
      </c>
      <c r="C91">
        <v>184066</v>
      </c>
      <c r="D91">
        <f t="shared" si="1"/>
        <v>286619</v>
      </c>
      <c r="E91">
        <v>470685</v>
      </c>
    </row>
    <row r="92" spans="1:5" x14ac:dyDescent="0.35">
      <c r="A92" t="s">
        <v>38</v>
      </c>
      <c r="B92" s="3">
        <v>46023</v>
      </c>
      <c r="C92">
        <v>278730</v>
      </c>
      <c r="D92">
        <f t="shared" si="1"/>
        <v>1123907</v>
      </c>
      <c r="E92">
        <v>1402637</v>
      </c>
    </row>
    <row r="93" spans="1:5" x14ac:dyDescent="0.35">
      <c r="A93" t="s">
        <v>39</v>
      </c>
      <c r="B93" s="3">
        <v>46023</v>
      </c>
      <c r="C93">
        <v>34013</v>
      </c>
      <c r="D93">
        <f t="shared" si="1"/>
        <v>84519</v>
      </c>
      <c r="E93">
        <v>118532</v>
      </c>
    </row>
    <row r="94" spans="1:5" x14ac:dyDescent="0.35">
      <c r="A94" t="s">
        <v>40</v>
      </c>
      <c r="B94" s="3">
        <v>46023</v>
      </c>
      <c r="C94">
        <v>113356</v>
      </c>
      <c r="D94">
        <f t="shared" si="1"/>
        <v>489792</v>
      </c>
      <c r="E94">
        <v>603148</v>
      </c>
    </row>
    <row r="95" spans="1:5" x14ac:dyDescent="0.35">
      <c r="A95" t="s">
        <v>41</v>
      </c>
      <c r="B95" s="3">
        <v>46023</v>
      </c>
      <c r="C95">
        <v>14404</v>
      </c>
      <c r="D95">
        <f t="shared" si="1"/>
        <v>62036</v>
      </c>
      <c r="E95">
        <v>76440</v>
      </c>
    </row>
    <row r="96" spans="1:5" x14ac:dyDescent="0.35">
      <c r="A96" t="s">
        <v>42</v>
      </c>
      <c r="B96" s="3">
        <v>46023</v>
      </c>
      <c r="C96">
        <v>181049</v>
      </c>
      <c r="D96">
        <f t="shared" si="1"/>
        <v>648578</v>
      </c>
      <c r="E96">
        <v>829627</v>
      </c>
    </row>
    <row r="97" spans="1:5" x14ac:dyDescent="0.35">
      <c r="A97" t="s">
        <v>43</v>
      </c>
      <c r="B97" s="3">
        <v>46023</v>
      </c>
      <c r="C97">
        <v>344813</v>
      </c>
      <c r="D97">
        <f t="shared" si="1"/>
        <v>2723103</v>
      </c>
      <c r="E97">
        <v>3067916</v>
      </c>
    </row>
    <row r="98" spans="1:5" x14ac:dyDescent="0.35">
      <c r="A98" t="s">
        <v>44</v>
      </c>
      <c r="B98" s="3">
        <v>46023</v>
      </c>
      <c r="C98">
        <v>34679</v>
      </c>
      <c r="D98">
        <f t="shared" si="1"/>
        <v>129843</v>
      </c>
      <c r="E98">
        <v>164522</v>
      </c>
    </row>
    <row r="99" spans="1:5" x14ac:dyDescent="0.35">
      <c r="A99" t="s">
        <v>45</v>
      </c>
      <c r="B99" s="3">
        <v>46023</v>
      </c>
      <c r="C99">
        <v>192709</v>
      </c>
      <c r="D99">
        <f t="shared" si="1"/>
        <v>605113</v>
      </c>
      <c r="E99">
        <v>797822</v>
      </c>
    </row>
    <row r="100" spans="1:5" x14ac:dyDescent="0.35">
      <c r="A100" t="s">
        <v>46</v>
      </c>
      <c r="B100" s="3">
        <v>46023</v>
      </c>
      <c r="C100">
        <v>5468</v>
      </c>
      <c r="D100">
        <f t="shared" si="1"/>
        <v>51885</v>
      </c>
      <c r="E100">
        <v>57353</v>
      </c>
    </row>
    <row r="101" spans="1:5" x14ac:dyDescent="0.35">
      <c r="A101" t="s">
        <v>47</v>
      </c>
      <c r="B101" s="3">
        <v>46023</v>
      </c>
      <c r="C101">
        <v>65228</v>
      </c>
      <c r="D101">
        <f t="shared" si="1"/>
        <v>752454</v>
      </c>
      <c r="E101">
        <v>817682</v>
      </c>
    </row>
    <row r="102" spans="1:5" x14ac:dyDescent="0.35">
      <c r="A102" t="s">
        <v>48</v>
      </c>
      <c r="B102" s="3">
        <v>46023</v>
      </c>
      <c r="C102">
        <v>99940</v>
      </c>
      <c r="D102">
        <f t="shared" si="1"/>
        <v>436411</v>
      </c>
      <c r="E102">
        <v>536351</v>
      </c>
    </row>
    <row r="103" spans="1:5" x14ac:dyDescent="0.35">
      <c r="A103" t="s">
        <v>49</v>
      </c>
      <c r="B103" s="3">
        <v>46023</v>
      </c>
      <c r="C103">
        <v>39648</v>
      </c>
      <c r="D103">
        <f t="shared" si="1"/>
        <v>154501</v>
      </c>
      <c r="E103">
        <v>194149</v>
      </c>
    </row>
    <row r="104" spans="1:5" x14ac:dyDescent="0.35">
      <c r="A104" t="s">
        <v>50</v>
      </c>
      <c r="B104" s="3">
        <v>46023</v>
      </c>
      <c r="C104">
        <v>6033</v>
      </c>
      <c r="D104">
        <f t="shared" si="1"/>
        <v>34647</v>
      </c>
      <c r="E104">
        <v>40680</v>
      </c>
    </row>
    <row r="105" spans="1:5" x14ac:dyDescent="0.35">
      <c r="A105" s="1" t="s">
        <v>63</v>
      </c>
      <c r="B105" s="8">
        <v>46023</v>
      </c>
      <c r="C105" s="1">
        <f>SUM(C54:C104)</f>
        <v>7241058</v>
      </c>
      <c r="D105" s="1">
        <f>E105-C105</f>
        <v>28618720</v>
      </c>
      <c r="E105" s="1">
        <f>SUM(E54:E104)</f>
        <v>35859778</v>
      </c>
    </row>
    <row r="106" spans="1:5" x14ac:dyDescent="0.35">
      <c r="A106" t="s">
        <v>0</v>
      </c>
      <c r="B106" s="3">
        <v>46054</v>
      </c>
      <c r="C106">
        <v>12855</v>
      </c>
      <c r="D106">
        <f t="shared" si="1"/>
        <v>72317</v>
      </c>
      <c r="E106">
        <v>85172</v>
      </c>
    </row>
    <row r="107" spans="1:5" x14ac:dyDescent="0.35">
      <c r="A107" t="s">
        <v>1</v>
      </c>
      <c r="B107" s="3">
        <v>46054</v>
      </c>
      <c r="C107">
        <v>196218</v>
      </c>
      <c r="D107">
        <f t="shared" si="1"/>
        <v>475064</v>
      </c>
      <c r="E107">
        <v>671282</v>
      </c>
    </row>
    <row r="108" spans="1:5" x14ac:dyDescent="0.35">
      <c r="A108" t="s">
        <v>2</v>
      </c>
      <c r="B108" s="3">
        <v>46054</v>
      </c>
      <c r="C108">
        <v>83371</v>
      </c>
      <c r="D108">
        <f t="shared" si="1"/>
        <v>315988</v>
      </c>
      <c r="E108">
        <v>399359</v>
      </c>
    </row>
    <row r="109" spans="1:5" x14ac:dyDescent="0.35">
      <c r="A109" t="s">
        <v>3</v>
      </c>
      <c r="B109" s="3">
        <v>46054</v>
      </c>
      <c r="C109">
        <v>111400</v>
      </c>
      <c r="D109">
        <f t="shared" si="1"/>
        <v>608244</v>
      </c>
      <c r="E109">
        <v>719644</v>
      </c>
    </row>
    <row r="110" spans="1:5" x14ac:dyDescent="0.35">
      <c r="A110" t="s">
        <v>4</v>
      </c>
      <c r="B110" s="3">
        <v>46054</v>
      </c>
      <c r="C110">
        <v>1240954</v>
      </c>
      <c r="D110">
        <f t="shared" si="1"/>
        <v>3317153</v>
      </c>
      <c r="E110">
        <v>4558107</v>
      </c>
    </row>
    <row r="111" spans="1:5" x14ac:dyDescent="0.35">
      <c r="A111" t="s">
        <v>5</v>
      </c>
      <c r="B111" s="3">
        <v>46054</v>
      </c>
      <c r="C111">
        <v>139344</v>
      </c>
      <c r="D111">
        <f t="shared" si="1"/>
        <v>385082</v>
      </c>
      <c r="E111">
        <v>524426</v>
      </c>
    </row>
    <row r="112" spans="1:5" x14ac:dyDescent="0.35">
      <c r="A112" t="s">
        <v>6</v>
      </c>
      <c r="B112" s="3">
        <v>46054</v>
      </c>
      <c r="C112">
        <v>25490</v>
      </c>
      <c r="D112">
        <f t="shared" si="1"/>
        <v>338537</v>
      </c>
      <c r="E112">
        <v>364027</v>
      </c>
    </row>
    <row r="113" spans="1:5" x14ac:dyDescent="0.35">
      <c r="A113" t="s">
        <v>7</v>
      </c>
      <c r="B113" s="3">
        <v>46054</v>
      </c>
      <c r="C113">
        <v>16190</v>
      </c>
      <c r="D113">
        <f t="shared" si="1"/>
        <v>77518</v>
      </c>
      <c r="E113">
        <v>93708</v>
      </c>
    </row>
    <row r="114" spans="1:5" x14ac:dyDescent="0.35">
      <c r="A114" t="s">
        <v>8</v>
      </c>
      <c r="B114" s="3">
        <v>46054</v>
      </c>
      <c r="C114">
        <v>14007</v>
      </c>
      <c r="D114">
        <f t="shared" si="1"/>
        <v>91635</v>
      </c>
      <c r="E114">
        <v>105642</v>
      </c>
    </row>
    <row r="115" spans="1:5" x14ac:dyDescent="0.35">
      <c r="A115" t="s">
        <v>9</v>
      </c>
      <c r="B115" s="3">
        <v>46054</v>
      </c>
      <c r="C115">
        <v>165278</v>
      </c>
      <c r="D115">
        <f t="shared" si="1"/>
        <v>2138601</v>
      </c>
      <c r="E115">
        <v>2303879</v>
      </c>
    </row>
    <row r="116" spans="1:5" x14ac:dyDescent="0.35">
      <c r="A116" t="s">
        <v>10</v>
      </c>
      <c r="B116" s="3">
        <v>46054</v>
      </c>
      <c r="C116">
        <v>182012</v>
      </c>
      <c r="D116">
        <f t="shared" si="1"/>
        <v>1113757</v>
      </c>
      <c r="E116">
        <v>1295769</v>
      </c>
    </row>
    <row r="117" spans="1:5" x14ac:dyDescent="0.35">
      <c r="A117" t="s">
        <v>11</v>
      </c>
      <c r="B117" s="3">
        <v>46054</v>
      </c>
      <c r="C117">
        <v>25575</v>
      </c>
      <c r="D117">
        <f t="shared" si="1"/>
        <v>127997</v>
      </c>
      <c r="E117">
        <v>153572</v>
      </c>
    </row>
    <row r="118" spans="1:5" x14ac:dyDescent="0.35">
      <c r="A118" t="s">
        <v>12</v>
      </c>
      <c r="B118" s="3">
        <v>46054</v>
      </c>
      <c r="C118">
        <v>84704</v>
      </c>
      <c r="D118">
        <f t="shared" si="1"/>
        <v>246679</v>
      </c>
      <c r="E118">
        <v>331383</v>
      </c>
    </row>
    <row r="119" spans="1:5" x14ac:dyDescent="0.35">
      <c r="A119" t="s">
        <v>13</v>
      </c>
      <c r="B119" s="3">
        <v>46054</v>
      </c>
      <c r="C119">
        <v>19595</v>
      </c>
      <c r="D119">
        <f t="shared" si="1"/>
        <v>131484</v>
      </c>
      <c r="E119">
        <v>151079</v>
      </c>
    </row>
    <row r="120" spans="1:5" x14ac:dyDescent="0.35">
      <c r="A120" t="s">
        <v>14</v>
      </c>
      <c r="B120" s="3">
        <v>46054</v>
      </c>
      <c r="C120">
        <v>321413</v>
      </c>
      <c r="D120">
        <f t="shared" si="1"/>
        <v>1023998</v>
      </c>
      <c r="E120">
        <v>1345411</v>
      </c>
    </row>
    <row r="121" spans="1:5" x14ac:dyDescent="0.35">
      <c r="A121" t="s">
        <v>15</v>
      </c>
      <c r="B121" s="3">
        <v>46054</v>
      </c>
      <c r="C121">
        <v>120298</v>
      </c>
      <c r="D121">
        <f t="shared" si="1"/>
        <v>563260</v>
      </c>
      <c r="E121">
        <v>683558</v>
      </c>
    </row>
    <row r="122" spans="1:5" x14ac:dyDescent="0.35">
      <c r="A122" t="s">
        <v>16</v>
      </c>
      <c r="B122" s="3">
        <v>46054</v>
      </c>
      <c r="C122">
        <v>72240</v>
      </c>
      <c r="D122">
        <f t="shared" si="1"/>
        <v>203324</v>
      </c>
      <c r="E122">
        <v>275564</v>
      </c>
    </row>
    <row r="123" spans="1:5" x14ac:dyDescent="0.35">
      <c r="A123" t="s">
        <v>17</v>
      </c>
      <c r="B123" s="3">
        <v>46054</v>
      </c>
      <c r="C123">
        <v>128641</v>
      </c>
      <c r="D123">
        <f t="shared" si="1"/>
        <v>457847</v>
      </c>
      <c r="E123">
        <v>586488</v>
      </c>
    </row>
    <row r="124" spans="1:5" x14ac:dyDescent="0.35">
      <c r="A124" t="s">
        <v>18</v>
      </c>
      <c r="B124" s="3">
        <v>46054</v>
      </c>
      <c r="C124">
        <v>136395</v>
      </c>
      <c r="D124">
        <f t="shared" si="1"/>
        <v>534194</v>
      </c>
      <c r="E124">
        <v>670589</v>
      </c>
    </row>
    <row r="125" spans="1:5" x14ac:dyDescent="0.35">
      <c r="A125" t="s">
        <v>19</v>
      </c>
      <c r="B125" s="3">
        <v>46054</v>
      </c>
      <c r="C125">
        <v>183387</v>
      </c>
      <c r="D125">
        <f t="shared" si="1"/>
        <v>492255</v>
      </c>
      <c r="E125">
        <v>675642</v>
      </c>
    </row>
    <row r="126" spans="1:5" x14ac:dyDescent="0.35">
      <c r="A126" t="s">
        <v>20</v>
      </c>
      <c r="B126" s="3">
        <v>46054</v>
      </c>
      <c r="C126">
        <v>195444</v>
      </c>
      <c r="D126">
        <f t="shared" si="1"/>
        <v>468756</v>
      </c>
      <c r="E126">
        <v>664200</v>
      </c>
    </row>
    <row r="127" spans="1:5" x14ac:dyDescent="0.35">
      <c r="A127" t="s">
        <v>21</v>
      </c>
      <c r="B127" s="3">
        <v>46054</v>
      </c>
      <c r="C127">
        <v>21134</v>
      </c>
      <c r="D127">
        <f t="shared" si="1"/>
        <v>117231</v>
      </c>
      <c r="E127">
        <v>138365</v>
      </c>
    </row>
    <row r="128" spans="1:5" x14ac:dyDescent="0.35">
      <c r="A128" t="s">
        <v>22</v>
      </c>
      <c r="B128" s="3">
        <v>46054</v>
      </c>
      <c r="C128">
        <v>166929</v>
      </c>
      <c r="D128">
        <f t="shared" si="1"/>
        <v>714946</v>
      </c>
      <c r="E128">
        <v>881875</v>
      </c>
    </row>
    <row r="129" spans="1:5" x14ac:dyDescent="0.35">
      <c r="A129" t="s">
        <v>23</v>
      </c>
      <c r="B129" s="3">
        <v>46054</v>
      </c>
      <c r="C129">
        <v>3982</v>
      </c>
      <c r="D129">
        <f t="shared" si="1"/>
        <v>591420</v>
      </c>
      <c r="E129">
        <v>595402</v>
      </c>
    </row>
    <row r="130" spans="1:5" x14ac:dyDescent="0.35">
      <c r="A130" t="s">
        <v>24</v>
      </c>
      <c r="B130" s="3">
        <v>46054</v>
      </c>
      <c r="C130">
        <v>134390</v>
      </c>
      <c r="D130">
        <f t="shared" si="1"/>
        <v>430273</v>
      </c>
      <c r="E130">
        <v>564663</v>
      </c>
    </row>
    <row r="131" spans="1:5" x14ac:dyDescent="0.35">
      <c r="A131" t="s">
        <v>25</v>
      </c>
      <c r="B131" s="3">
        <v>46054</v>
      </c>
      <c r="C131">
        <v>83532</v>
      </c>
      <c r="D131">
        <f t="shared" ref="D131:D194" si="2">E131-C131</f>
        <v>308430</v>
      </c>
      <c r="E131">
        <v>391962</v>
      </c>
    </row>
    <row r="132" spans="1:5" x14ac:dyDescent="0.35">
      <c r="A132" t="s">
        <v>26</v>
      </c>
      <c r="B132" s="3">
        <v>46054</v>
      </c>
      <c r="C132">
        <v>19805</v>
      </c>
      <c r="D132">
        <f t="shared" si="2"/>
        <v>69450</v>
      </c>
      <c r="E132">
        <v>89255</v>
      </c>
    </row>
    <row r="133" spans="1:5" x14ac:dyDescent="0.35">
      <c r="A133" t="s">
        <v>27</v>
      </c>
      <c r="B133" s="3">
        <v>46054</v>
      </c>
      <c r="C133">
        <v>345689</v>
      </c>
      <c r="D133">
        <f t="shared" si="2"/>
        <v>1056396</v>
      </c>
      <c r="E133">
        <v>1402085</v>
      </c>
    </row>
    <row r="134" spans="1:5" x14ac:dyDescent="0.35">
      <c r="A134" t="s">
        <v>28</v>
      </c>
      <c r="B134" s="3">
        <v>46054</v>
      </c>
      <c r="C134">
        <v>5392</v>
      </c>
      <c r="D134">
        <f t="shared" si="2"/>
        <v>45306</v>
      </c>
      <c r="E134">
        <v>50698</v>
      </c>
    </row>
    <row r="135" spans="1:5" x14ac:dyDescent="0.35">
      <c r="A135" t="s">
        <v>29</v>
      </c>
      <c r="B135" s="3">
        <v>46054</v>
      </c>
      <c r="C135">
        <v>37273</v>
      </c>
      <c r="D135">
        <f t="shared" si="2"/>
        <v>134038</v>
      </c>
      <c r="E135">
        <v>171311</v>
      </c>
    </row>
    <row r="136" spans="1:5" x14ac:dyDescent="0.35">
      <c r="A136" t="s">
        <v>30</v>
      </c>
      <c r="B136" s="3">
        <v>46054</v>
      </c>
      <c r="C136">
        <v>18985</v>
      </c>
      <c r="D136">
        <f t="shared" si="2"/>
        <v>66196</v>
      </c>
      <c r="E136">
        <v>85181</v>
      </c>
    </row>
    <row r="137" spans="1:5" x14ac:dyDescent="0.35">
      <c r="A137" t="s">
        <v>31</v>
      </c>
      <c r="B137" s="3">
        <v>46054</v>
      </c>
      <c r="C137">
        <v>256439</v>
      </c>
      <c r="D137">
        <f t="shared" si="2"/>
        <v>544891</v>
      </c>
      <c r="E137">
        <v>801330</v>
      </c>
    </row>
    <row r="138" spans="1:5" x14ac:dyDescent="0.35">
      <c r="A138" t="s">
        <v>32</v>
      </c>
      <c r="B138" s="3">
        <v>46054</v>
      </c>
      <c r="C138">
        <v>43909</v>
      </c>
      <c r="D138">
        <f t="shared" si="2"/>
        <v>263410</v>
      </c>
      <c r="E138">
        <v>307319</v>
      </c>
    </row>
    <row r="139" spans="1:5" x14ac:dyDescent="0.35">
      <c r="A139" t="s">
        <v>33</v>
      </c>
      <c r="B139" s="3">
        <v>46054</v>
      </c>
      <c r="C139">
        <v>47078</v>
      </c>
      <c r="D139">
        <f t="shared" si="2"/>
        <v>267732</v>
      </c>
      <c r="E139">
        <v>314810</v>
      </c>
    </row>
    <row r="140" spans="1:5" x14ac:dyDescent="0.35">
      <c r="A140" t="s">
        <v>34</v>
      </c>
      <c r="B140" s="3">
        <v>46054</v>
      </c>
      <c r="C140">
        <v>657439</v>
      </c>
      <c r="D140">
        <f t="shared" si="2"/>
        <v>1776166</v>
      </c>
      <c r="E140">
        <v>2433605</v>
      </c>
    </row>
    <row r="141" spans="1:5" x14ac:dyDescent="0.35">
      <c r="A141" t="s">
        <v>35</v>
      </c>
      <c r="B141" s="3">
        <v>46054</v>
      </c>
      <c r="C141">
        <v>242061</v>
      </c>
      <c r="D141">
        <f t="shared" si="2"/>
        <v>911320</v>
      </c>
      <c r="E141">
        <v>1153381</v>
      </c>
    </row>
    <row r="142" spans="1:5" x14ac:dyDescent="0.35">
      <c r="A142" t="s">
        <v>36</v>
      </c>
      <c r="B142" s="3">
        <v>46054</v>
      </c>
      <c r="C142">
        <v>77906</v>
      </c>
      <c r="D142">
        <f t="shared" si="2"/>
        <v>423051</v>
      </c>
      <c r="E142">
        <v>500957</v>
      </c>
    </row>
    <row r="143" spans="1:5" x14ac:dyDescent="0.35">
      <c r="A143" t="s">
        <v>37</v>
      </c>
      <c r="B143" s="3">
        <v>46054</v>
      </c>
      <c r="C143">
        <v>182827</v>
      </c>
      <c r="D143">
        <f t="shared" si="2"/>
        <v>286705</v>
      </c>
      <c r="E143">
        <v>469532</v>
      </c>
    </row>
    <row r="144" spans="1:5" x14ac:dyDescent="0.35">
      <c r="A144" t="s">
        <v>38</v>
      </c>
      <c r="B144" s="3">
        <v>46054</v>
      </c>
      <c r="C144">
        <v>278554</v>
      </c>
      <c r="D144">
        <f t="shared" si="2"/>
        <v>1127110</v>
      </c>
      <c r="E144">
        <v>1405664</v>
      </c>
    </row>
    <row r="145" spans="1:5" x14ac:dyDescent="0.35">
      <c r="A145" t="s">
        <v>39</v>
      </c>
      <c r="B145" s="3">
        <v>46054</v>
      </c>
      <c r="C145">
        <v>35160</v>
      </c>
      <c r="D145">
        <f t="shared" si="2"/>
        <v>78105</v>
      </c>
      <c r="E145">
        <v>113265</v>
      </c>
    </row>
    <row r="146" spans="1:5" x14ac:dyDescent="0.35">
      <c r="A146" t="s">
        <v>40</v>
      </c>
      <c r="B146" s="3">
        <v>46054</v>
      </c>
      <c r="C146">
        <v>113491</v>
      </c>
      <c r="D146">
        <f t="shared" si="2"/>
        <v>486261</v>
      </c>
      <c r="E146">
        <v>599752</v>
      </c>
    </row>
    <row r="147" spans="1:5" x14ac:dyDescent="0.35">
      <c r="A147" t="s">
        <v>41</v>
      </c>
      <c r="B147" s="3">
        <v>46054</v>
      </c>
      <c r="C147">
        <v>14600</v>
      </c>
      <c r="D147">
        <f t="shared" si="2"/>
        <v>61979</v>
      </c>
      <c r="E147">
        <v>76579</v>
      </c>
    </row>
    <row r="148" spans="1:5" x14ac:dyDescent="0.35">
      <c r="A148" t="s">
        <v>42</v>
      </c>
      <c r="B148" s="3">
        <v>46054</v>
      </c>
      <c r="C148">
        <v>177810</v>
      </c>
      <c r="D148">
        <f t="shared" si="2"/>
        <v>650822</v>
      </c>
      <c r="E148">
        <v>828632</v>
      </c>
    </row>
    <row r="149" spans="1:5" x14ac:dyDescent="0.35">
      <c r="A149" t="s">
        <v>43</v>
      </c>
      <c r="B149" s="3">
        <v>46054</v>
      </c>
      <c r="C149">
        <v>345824</v>
      </c>
      <c r="D149">
        <f t="shared" si="2"/>
        <v>2693121</v>
      </c>
      <c r="E149">
        <v>3038945</v>
      </c>
    </row>
    <row r="150" spans="1:5" x14ac:dyDescent="0.35">
      <c r="A150" t="s">
        <v>44</v>
      </c>
      <c r="B150" s="3">
        <v>46054</v>
      </c>
      <c r="C150">
        <v>34682</v>
      </c>
      <c r="D150">
        <f t="shared" si="2"/>
        <v>129137</v>
      </c>
      <c r="E150">
        <v>163819</v>
      </c>
    </row>
    <row r="151" spans="1:5" x14ac:dyDescent="0.35">
      <c r="A151" t="s">
        <v>45</v>
      </c>
      <c r="B151" s="3">
        <v>46054</v>
      </c>
      <c r="C151">
        <v>190873</v>
      </c>
      <c r="D151">
        <f t="shared" si="2"/>
        <v>602188</v>
      </c>
      <c r="E151">
        <v>793061</v>
      </c>
    </row>
    <row r="152" spans="1:5" x14ac:dyDescent="0.35">
      <c r="A152" t="s">
        <v>46</v>
      </c>
      <c r="B152" s="3">
        <v>46054</v>
      </c>
      <c r="C152">
        <v>5466</v>
      </c>
      <c r="D152">
        <f t="shared" si="2"/>
        <v>51783</v>
      </c>
      <c r="E152">
        <v>57249</v>
      </c>
    </row>
    <row r="153" spans="1:5" x14ac:dyDescent="0.35">
      <c r="A153" t="s">
        <v>47</v>
      </c>
      <c r="B153" s="3">
        <v>46054</v>
      </c>
      <c r="C153">
        <v>65723</v>
      </c>
      <c r="D153">
        <f t="shared" si="2"/>
        <v>750591</v>
      </c>
      <c r="E153">
        <v>816314</v>
      </c>
    </row>
    <row r="154" spans="1:5" x14ac:dyDescent="0.35">
      <c r="A154" t="s">
        <v>48</v>
      </c>
      <c r="B154" s="3">
        <v>46054</v>
      </c>
      <c r="C154">
        <v>100048</v>
      </c>
      <c r="D154">
        <f t="shared" si="2"/>
        <v>436255</v>
      </c>
      <c r="E154">
        <v>536303</v>
      </c>
    </row>
    <row r="155" spans="1:5" x14ac:dyDescent="0.35">
      <c r="A155" t="s">
        <v>49</v>
      </c>
      <c r="B155" s="3">
        <v>46054</v>
      </c>
      <c r="C155">
        <v>39865</v>
      </c>
      <c r="D155">
        <f t="shared" si="2"/>
        <v>154098</v>
      </c>
      <c r="E155">
        <v>193963</v>
      </c>
    </row>
    <row r="156" spans="1:5" x14ac:dyDescent="0.35">
      <c r="A156" t="s">
        <v>50</v>
      </c>
      <c r="B156" s="3">
        <v>46054</v>
      </c>
      <c r="C156">
        <v>5981</v>
      </c>
      <c r="D156">
        <f t="shared" si="2"/>
        <v>34019</v>
      </c>
      <c r="E156">
        <v>40000</v>
      </c>
    </row>
    <row r="157" spans="1:5" x14ac:dyDescent="0.35">
      <c r="A157" s="1" t="s">
        <v>63</v>
      </c>
      <c r="B157" s="8">
        <v>46054</v>
      </c>
      <c r="C157" s="1">
        <f>SUM(C106:C156)</f>
        <v>7227658</v>
      </c>
      <c r="D157" s="1">
        <f t="shared" si="2"/>
        <v>28446120</v>
      </c>
      <c r="E157" s="1">
        <f>SUM(E106:E156)</f>
        <v>35673778</v>
      </c>
    </row>
    <row r="158" spans="1:5" x14ac:dyDescent="0.35">
      <c r="A158" t="s">
        <v>0</v>
      </c>
      <c r="B158" s="3">
        <v>46082</v>
      </c>
      <c r="C158">
        <v>12843</v>
      </c>
      <c r="D158">
        <f t="shared" si="2"/>
        <v>71801</v>
      </c>
      <c r="E158">
        <v>84644</v>
      </c>
    </row>
    <row r="159" spans="1:5" x14ac:dyDescent="0.35">
      <c r="A159" t="s">
        <v>1</v>
      </c>
      <c r="B159" s="3">
        <v>46082</v>
      </c>
      <c r="C159">
        <v>197501</v>
      </c>
      <c r="D159">
        <f t="shared" si="2"/>
        <v>473835</v>
      </c>
      <c r="E159">
        <v>671336</v>
      </c>
    </row>
    <row r="160" spans="1:5" x14ac:dyDescent="0.35">
      <c r="A160" t="s">
        <v>2</v>
      </c>
      <c r="B160" s="3">
        <v>46082</v>
      </c>
      <c r="C160">
        <v>83573</v>
      </c>
      <c r="D160">
        <f t="shared" si="2"/>
        <v>315638</v>
      </c>
      <c r="E160">
        <v>399211</v>
      </c>
    </row>
    <row r="161" spans="1:5" x14ac:dyDescent="0.35">
      <c r="A161" t="s">
        <v>3</v>
      </c>
      <c r="B161" s="3">
        <v>46082</v>
      </c>
      <c r="C161">
        <v>110570</v>
      </c>
      <c r="D161">
        <f t="shared" si="2"/>
        <v>607087</v>
      </c>
      <c r="E161">
        <v>717657</v>
      </c>
    </row>
    <row r="162" spans="1:5" x14ac:dyDescent="0.35">
      <c r="A162" t="s">
        <v>4</v>
      </c>
      <c r="B162" s="3">
        <v>46082</v>
      </c>
      <c r="C162">
        <v>1245606</v>
      </c>
      <c r="D162">
        <f t="shared" si="2"/>
        <v>3276885</v>
      </c>
      <c r="E162">
        <v>4522491</v>
      </c>
    </row>
    <row r="163" spans="1:5" x14ac:dyDescent="0.35">
      <c r="A163" t="s">
        <v>5</v>
      </c>
      <c r="B163" s="3">
        <v>46082</v>
      </c>
      <c r="C163">
        <v>139287</v>
      </c>
      <c r="D163">
        <f t="shared" si="2"/>
        <v>385198</v>
      </c>
      <c r="E163">
        <v>524485</v>
      </c>
    </row>
    <row r="164" spans="1:5" x14ac:dyDescent="0.35">
      <c r="A164" t="s">
        <v>6</v>
      </c>
      <c r="B164" s="3">
        <v>46082</v>
      </c>
      <c r="C164">
        <v>25649</v>
      </c>
      <c r="D164">
        <f t="shared" si="2"/>
        <v>338003</v>
      </c>
      <c r="E164">
        <v>363652</v>
      </c>
    </row>
    <row r="165" spans="1:5" x14ac:dyDescent="0.35">
      <c r="A165" t="s">
        <v>7</v>
      </c>
      <c r="B165" s="3">
        <v>46082</v>
      </c>
      <c r="C165">
        <v>15890</v>
      </c>
      <c r="D165">
        <f t="shared" si="2"/>
        <v>77324</v>
      </c>
      <c r="E165">
        <v>93214</v>
      </c>
    </row>
    <row r="166" spans="1:5" x14ac:dyDescent="0.35">
      <c r="A166" t="s">
        <v>8</v>
      </c>
      <c r="B166" s="3">
        <v>46082</v>
      </c>
      <c r="C166">
        <v>13899</v>
      </c>
      <c r="D166">
        <f t="shared" si="2"/>
        <v>91459</v>
      </c>
      <c r="E166">
        <v>105358</v>
      </c>
    </row>
    <row r="167" spans="1:5" x14ac:dyDescent="0.35">
      <c r="A167" t="s">
        <v>9</v>
      </c>
      <c r="B167" s="3">
        <v>46082</v>
      </c>
      <c r="C167">
        <v>168078</v>
      </c>
      <c r="D167">
        <f t="shared" si="2"/>
        <v>2126301</v>
      </c>
      <c r="E167">
        <v>2294379</v>
      </c>
    </row>
    <row r="168" spans="1:5" x14ac:dyDescent="0.35">
      <c r="A168" t="s">
        <v>10</v>
      </c>
      <c r="B168" s="3">
        <v>46082</v>
      </c>
      <c r="C168">
        <v>182283</v>
      </c>
      <c r="D168">
        <f t="shared" si="2"/>
        <v>1111894</v>
      </c>
      <c r="E168">
        <v>1294177</v>
      </c>
    </row>
    <row r="169" spans="1:5" x14ac:dyDescent="0.35">
      <c r="A169" t="s">
        <v>11</v>
      </c>
      <c r="B169" s="3">
        <v>46082</v>
      </c>
      <c r="C169">
        <v>25695</v>
      </c>
      <c r="D169">
        <f t="shared" si="2"/>
        <v>128062</v>
      </c>
      <c r="E169">
        <v>153757</v>
      </c>
    </row>
    <row r="170" spans="1:5" x14ac:dyDescent="0.35">
      <c r="A170" t="s">
        <v>12</v>
      </c>
      <c r="B170" s="3">
        <v>46082</v>
      </c>
      <c r="C170">
        <v>84083</v>
      </c>
      <c r="D170">
        <f t="shared" si="2"/>
        <v>248265</v>
      </c>
      <c r="E170">
        <v>332348</v>
      </c>
    </row>
    <row r="171" spans="1:5" x14ac:dyDescent="0.35">
      <c r="A171" t="s">
        <v>13</v>
      </c>
      <c r="B171" s="3">
        <v>46082</v>
      </c>
      <c r="C171">
        <v>19785</v>
      </c>
      <c r="D171">
        <f t="shared" si="2"/>
        <v>132957</v>
      </c>
      <c r="E171">
        <v>152742</v>
      </c>
    </row>
    <row r="172" spans="1:5" x14ac:dyDescent="0.35">
      <c r="A172" t="s">
        <v>14</v>
      </c>
      <c r="B172" s="3">
        <v>46082</v>
      </c>
      <c r="C172">
        <v>319643</v>
      </c>
      <c r="D172">
        <f t="shared" si="2"/>
        <v>1020895</v>
      </c>
      <c r="E172">
        <v>1340538</v>
      </c>
    </row>
    <row r="173" spans="1:5" x14ac:dyDescent="0.35">
      <c r="A173" t="s">
        <v>15</v>
      </c>
      <c r="B173" s="3">
        <v>46082</v>
      </c>
      <c r="C173">
        <v>118614</v>
      </c>
      <c r="D173">
        <f t="shared" si="2"/>
        <v>553540</v>
      </c>
      <c r="E173">
        <v>672154</v>
      </c>
    </row>
    <row r="174" spans="1:5" x14ac:dyDescent="0.35">
      <c r="A174" t="s">
        <v>16</v>
      </c>
      <c r="B174" s="3">
        <v>46082</v>
      </c>
      <c r="C174">
        <v>71964</v>
      </c>
      <c r="D174">
        <f t="shared" si="2"/>
        <v>203788</v>
      </c>
      <c r="E174">
        <v>275752</v>
      </c>
    </row>
    <row r="175" spans="1:5" x14ac:dyDescent="0.35">
      <c r="A175" t="s">
        <v>17</v>
      </c>
      <c r="B175" s="3">
        <v>46082</v>
      </c>
      <c r="C175">
        <v>125960</v>
      </c>
      <c r="D175">
        <f t="shared" si="2"/>
        <v>450131</v>
      </c>
      <c r="E175">
        <v>576091</v>
      </c>
    </row>
    <row r="176" spans="1:5" x14ac:dyDescent="0.35">
      <c r="A176" t="s">
        <v>18</v>
      </c>
      <c r="B176" s="3">
        <v>46082</v>
      </c>
      <c r="C176">
        <v>136772</v>
      </c>
      <c r="D176">
        <f t="shared" si="2"/>
        <v>532637</v>
      </c>
      <c r="E176">
        <v>669409</v>
      </c>
    </row>
    <row r="177" spans="1:5" x14ac:dyDescent="0.35">
      <c r="A177" t="s">
        <v>19</v>
      </c>
      <c r="B177" s="3">
        <v>46082</v>
      </c>
      <c r="C177">
        <v>178999</v>
      </c>
      <c r="D177">
        <f t="shared" si="2"/>
        <v>490210</v>
      </c>
      <c r="E177">
        <v>669209</v>
      </c>
    </row>
    <row r="178" spans="1:5" x14ac:dyDescent="0.35">
      <c r="A178" t="s">
        <v>20</v>
      </c>
      <c r="B178" s="3">
        <v>46082</v>
      </c>
      <c r="C178">
        <v>195018</v>
      </c>
      <c r="D178">
        <f t="shared" si="2"/>
        <v>469939</v>
      </c>
      <c r="E178">
        <v>664957</v>
      </c>
    </row>
    <row r="179" spans="1:5" x14ac:dyDescent="0.35">
      <c r="A179" t="s">
        <v>21</v>
      </c>
      <c r="B179" s="3">
        <v>46082</v>
      </c>
      <c r="C179">
        <v>20928</v>
      </c>
      <c r="D179">
        <f t="shared" si="2"/>
        <v>117349</v>
      </c>
      <c r="E179">
        <v>138277</v>
      </c>
    </row>
    <row r="180" spans="1:5" x14ac:dyDescent="0.35">
      <c r="A180" t="s">
        <v>22</v>
      </c>
      <c r="B180" s="3">
        <v>46082</v>
      </c>
      <c r="C180">
        <v>167017</v>
      </c>
      <c r="D180">
        <f t="shared" si="2"/>
        <v>715034</v>
      </c>
      <c r="E180">
        <v>882051</v>
      </c>
    </row>
    <row r="181" spans="1:5" x14ac:dyDescent="0.35">
      <c r="A181" t="s">
        <v>23</v>
      </c>
      <c r="B181" s="3">
        <v>46082</v>
      </c>
      <c r="C181">
        <v>4037</v>
      </c>
      <c r="D181">
        <f t="shared" si="2"/>
        <v>591521</v>
      </c>
      <c r="E181">
        <v>595558</v>
      </c>
    </row>
    <row r="182" spans="1:5" x14ac:dyDescent="0.35">
      <c r="A182" t="s">
        <v>24</v>
      </c>
      <c r="B182" s="3">
        <v>46082</v>
      </c>
      <c r="C182">
        <v>135843</v>
      </c>
      <c r="D182">
        <f t="shared" si="2"/>
        <v>431418</v>
      </c>
      <c r="E182">
        <v>567261</v>
      </c>
    </row>
    <row r="183" spans="1:5" x14ac:dyDescent="0.35">
      <c r="A183" t="s">
        <v>25</v>
      </c>
      <c r="B183" s="3">
        <v>46082</v>
      </c>
      <c r="C183">
        <v>83253</v>
      </c>
      <c r="D183">
        <f t="shared" si="2"/>
        <v>307523</v>
      </c>
      <c r="E183">
        <v>390776</v>
      </c>
    </row>
    <row r="184" spans="1:5" x14ac:dyDescent="0.35">
      <c r="A184" t="s">
        <v>26</v>
      </c>
      <c r="B184" s="3">
        <v>46082</v>
      </c>
      <c r="C184">
        <v>20037</v>
      </c>
      <c r="D184">
        <f t="shared" si="2"/>
        <v>69288</v>
      </c>
      <c r="E184">
        <v>89325</v>
      </c>
    </row>
    <row r="185" spans="1:5" x14ac:dyDescent="0.35">
      <c r="A185" t="s">
        <v>27</v>
      </c>
      <c r="B185" s="3">
        <v>46082</v>
      </c>
      <c r="C185">
        <v>347117</v>
      </c>
      <c r="D185">
        <f t="shared" si="2"/>
        <v>1045782</v>
      </c>
      <c r="E185">
        <v>1392899</v>
      </c>
    </row>
    <row r="186" spans="1:5" x14ac:dyDescent="0.35">
      <c r="A186" t="s">
        <v>28</v>
      </c>
      <c r="B186" s="3">
        <v>46082</v>
      </c>
      <c r="C186">
        <v>5417</v>
      </c>
      <c r="D186">
        <f t="shared" si="2"/>
        <v>45314</v>
      </c>
      <c r="E186">
        <v>50731</v>
      </c>
    </row>
    <row r="187" spans="1:5" x14ac:dyDescent="0.35">
      <c r="A187" t="s">
        <v>29</v>
      </c>
      <c r="B187" s="3">
        <v>46082</v>
      </c>
      <c r="C187">
        <v>37455</v>
      </c>
      <c r="D187">
        <f t="shared" si="2"/>
        <v>134297</v>
      </c>
      <c r="E187">
        <v>171752</v>
      </c>
    </row>
    <row r="188" spans="1:5" x14ac:dyDescent="0.35">
      <c r="A188" t="s">
        <v>30</v>
      </c>
      <c r="B188" s="3">
        <v>46082</v>
      </c>
      <c r="C188">
        <v>18943</v>
      </c>
      <c r="D188">
        <f t="shared" si="2"/>
        <v>66206</v>
      </c>
      <c r="E188">
        <v>85149</v>
      </c>
    </row>
    <row r="189" spans="1:5" x14ac:dyDescent="0.35">
      <c r="A189" t="s">
        <v>31</v>
      </c>
      <c r="B189" s="3">
        <v>46082</v>
      </c>
      <c r="C189">
        <v>257103</v>
      </c>
      <c r="D189">
        <f t="shared" si="2"/>
        <v>544875</v>
      </c>
      <c r="E189">
        <v>801978</v>
      </c>
    </row>
    <row r="190" spans="1:5" x14ac:dyDescent="0.35">
      <c r="A190" t="s">
        <v>32</v>
      </c>
      <c r="B190" s="3">
        <v>46082</v>
      </c>
      <c r="C190">
        <v>44111</v>
      </c>
      <c r="D190">
        <f t="shared" si="2"/>
        <v>262935</v>
      </c>
      <c r="E190">
        <v>307046</v>
      </c>
    </row>
    <row r="191" spans="1:5" x14ac:dyDescent="0.35">
      <c r="A191" t="s">
        <v>33</v>
      </c>
      <c r="B191" s="3">
        <v>46082</v>
      </c>
      <c r="C191">
        <v>46879</v>
      </c>
      <c r="D191">
        <f t="shared" si="2"/>
        <v>279179</v>
      </c>
      <c r="E191">
        <v>326058</v>
      </c>
    </row>
    <row r="192" spans="1:5" x14ac:dyDescent="0.35">
      <c r="A192" t="s">
        <v>34</v>
      </c>
      <c r="B192" s="3">
        <v>46082</v>
      </c>
      <c r="C192">
        <v>652991</v>
      </c>
      <c r="D192">
        <f t="shared" si="2"/>
        <v>1781246</v>
      </c>
      <c r="E192">
        <v>2434237</v>
      </c>
    </row>
    <row r="193" spans="1:5" x14ac:dyDescent="0.35">
      <c r="A193" t="s">
        <v>35</v>
      </c>
      <c r="B193" s="3">
        <v>46082</v>
      </c>
      <c r="C193">
        <v>237707</v>
      </c>
      <c r="D193">
        <f t="shared" si="2"/>
        <v>904604</v>
      </c>
      <c r="E193">
        <v>1142311</v>
      </c>
    </row>
    <row r="194" spans="1:5" x14ac:dyDescent="0.35">
      <c r="A194" t="s">
        <v>36</v>
      </c>
      <c r="B194" s="3">
        <v>46082</v>
      </c>
      <c r="C194">
        <v>83566</v>
      </c>
      <c r="D194">
        <f t="shared" si="2"/>
        <v>418210</v>
      </c>
      <c r="E194">
        <v>501776</v>
      </c>
    </row>
    <row r="195" spans="1:5" x14ac:dyDescent="0.35">
      <c r="A195" t="s">
        <v>37</v>
      </c>
      <c r="B195" s="3">
        <v>46082</v>
      </c>
      <c r="C195">
        <v>182349</v>
      </c>
      <c r="D195">
        <f t="shared" ref="D195:D258" si="3">E195-C195</f>
        <v>287131</v>
      </c>
      <c r="E195">
        <v>469480</v>
      </c>
    </row>
    <row r="196" spans="1:5" x14ac:dyDescent="0.35">
      <c r="A196" t="s">
        <v>38</v>
      </c>
      <c r="B196" s="3">
        <v>46082</v>
      </c>
      <c r="C196">
        <v>280272</v>
      </c>
      <c r="D196">
        <f t="shared" si="3"/>
        <v>1126906</v>
      </c>
      <c r="E196">
        <v>1407178</v>
      </c>
    </row>
    <row r="197" spans="1:5" x14ac:dyDescent="0.35">
      <c r="A197" t="s">
        <v>39</v>
      </c>
      <c r="B197" s="3">
        <v>46082</v>
      </c>
      <c r="C197">
        <v>34526</v>
      </c>
      <c r="D197">
        <f t="shared" si="3"/>
        <v>82702</v>
      </c>
      <c r="E197">
        <v>117228</v>
      </c>
    </row>
    <row r="198" spans="1:5" x14ac:dyDescent="0.35">
      <c r="A198" t="s">
        <v>40</v>
      </c>
      <c r="B198" s="3">
        <v>46082</v>
      </c>
      <c r="C198">
        <v>112772</v>
      </c>
      <c r="D198">
        <f t="shared" si="3"/>
        <v>484511</v>
      </c>
      <c r="E198">
        <v>597283</v>
      </c>
    </row>
    <row r="199" spans="1:5" x14ac:dyDescent="0.35">
      <c r="A199" t="s">
        <v>41</v>
      </c>
      <c r="B199" s="3">
        <v>46082</v>
      </c>
      <c r="C199">
        <v>14739</v>
      </c>
      <c r="D199">
        <f t="shared" si="3"/>
        <v>62605</v>
      </c>
      <c r="E199">
        <v>77344</v>
      </c>
    </row>
    <row r="200" spans="1:5" x14ac:dyDescent="0.35">
      <c r="A200" t="s">
        <v>42</v>
      </c>
      <c r="B200" s="3">
        <v>46082</v>
      </c>
      <c r="C200">
        <v>180842</v>
      </c>
      <c r="D200">
        <f t="shared" si="3"/>
        <v>641137</v>
      </c>
      <c r="E200">
        <v>821979</v>
      </c>
    </row>
    <row r="201" spans="1:5" x14ac:dyDescent="0.35">
      <c r="A201" t="s">
        <v>43</v>
      </c>
      <c r="B201" s="3">
        <v>46082</v>
      </c>
      <c r="C201">
        <v>334075</v>
      </c>
      <c r="D201">
        <f t="shared" si="3"/>
        <v>2694110</v>
      </c>
      <c r="E201">
        <v>3028185</v>
      </c>
    </row>
    <row r="202" spans="1:5" x14ac:dyDescent="0.35">
      <c r="A202" t="s">
        <v>44</v>
      </c>
      <c r="B202" s="3">
        <v>46082</v>
      </c>
      <c r="C202">
        <v>34610</v>
      </c>
      <c r="D202">
        <f t="shared" si="3"/>
        <v>128416</v>
      </c>
      <c r="E202">
        <v>163026</v>
      </c>
    </row>
    <row r="203" spans="1:5" x14ac:dyDescent="0.35">
      <c r="A203" t="s">
        <v>45</v>
      </c>
      <c r="B203" s="3">
        <v>46082</v>
      </c>
      <c r="C203">
        <v>190582</v>
      </c>
      <c r="D203">
        <f t="shared" si="3"/>
        <v>601390</v>
      </c>
      <c r="E203">
        <v>791972</v>
      </c>
    </row>
    <row r="204" spans="1:5" x14ac:dyDescent="0.35">
      <c r="A204" t="s">
        <v>46</v>
      </c>
      <c r="B204" s="3">
        <v>46082</v>
      </c>
      <c r="C204">
        <v>5505</v>
      </c>
      <c r="D204">
        <f t="shared" si="3"/>
        <v>51457</v>
      </c>
      <c r="E204">
        <v>56962</v>
      </c>
    </row>
    <row r="205" spans="1:5" x14ac:dyDescent="0.35">
      <c r="A205" t="s">
        <v>47</v>
      </c>
      <c r="B205" s="3">
        <v>46082</v>
      </c>
      <c r="C205">
        <v>66336</v>
      </c>
      <c r="D205">
        <f t="shared" si="3"/>
        <v>748785</v>
      </c>
      <c r="E205">
        <v>815121</v>
      </c>
    </row>
    <row r="206" spans="1:5" x14ac:dyDescent="0.35">
      <c r="A206" t="s">
        <v>48</v>
      </c>
      <c r="B206" s="3">
        <v>46082</v>
      </c>
      <c r="C206">
        <v>96751</v>
      </c>
      <c r="D206">
        <f t="shared" si="3"/>
        <v>438730</v>
      </c>
      <c r="E206">
        <v>535481</v>
      </c>
    </row>
    <row r="207" spans="1:5" x14ac:dyDescent="0.35">
      <c r="A207" t="s">
        <v>49</v>
      </c>
      <c r="B207" s="3">
        <v>46082</v>
      </c>
      <c r="C207">
        <v>39754</v>
      </c>
      <c r="D207">
        <f t="shared" si="3"/>
        <v>153271</v>
      </c>
      <c r="E207">
        <v>193025</v>
      </c>
    </row>
    <row r="208" spans="1:5" x14ac:dyDescent="0.35">
      <c r="A208" t="s">
        <v>50</v>
      </c>
      <c r="B208" s="3">
        <v>46082</v>
      </c>
      <c r="C208">
        <v>6152</v>
      </c>
      <c r="D208">
        <f t="shared" si="3"/>
        <v>35713</v>
      </c>
      <c r="E208">
        <v>41865</v>
      </c>
    </row>
    <row r="209" spans="1:5" x14ac:dyDescent="0.35">
      <c r="A209" s="1" t="s">
        <v>63</v>
      </c>
      <c r="B209" s="8">
        <v>46082</v>
      </c>
      <c r="C209" s="1">
        <f>SUM(C158:C208)</f>
        <v>7213381</v>
      </c>
      <c r="D209" s="1">
        <f t="shared" si="3"/>
        <v>28357494</v>
      </c>
      <c r="E209" s="1">
        <f>SUM(E158:E208)</f>
        <v>35570875</v>
      </c>
    </row>
    <row r="210" spans="1:5" x14ac:dyDescent="0.35">
      <c r="A210" t="s">
        <v>0</v>
      </c>
      <c r="B210" s="3">
        <v>46113</v>
      </c>
      <c r="C210">
        <v>12740</v>
      </c>
      <c r="D210">
        <f t="shared" si="3"/>
        <v>71819</v>
      </c>
      <c r="E210">
        <v>84559</v>
      </c>
    </row>
    <row r="211" spans="1:5" x14ac:dyDescent="0.35">
      <c r="A211" t="s">
        <v>1</v>
      </c>
      <c r="B211" s="3">
        <v>46113</v>
      </c>
      <c r="C211">
        <v>198102</v>
      </c>
      <c r="D211">
        <f t="shared" si="3"/>
        <v>472692</v>
      </c>
      <c r="E211">
        <v>670794</v>
      </c>
    </row>
    <row r="212" spans="1:5" x14ac:dyDescent="0.35">
      <c r="A212" t="s">
        <v>2</v>
      </c>
      <c r="B212" s="3">
        <v>46113</v>
      </c>
      <c r="C212">
        <v>78477</v>
      </c>
      <c r="D212">
        <f t="shared" si="3"/>
        <v>320374</v>
      </c>
      <c r="E212">
        <v>398851</v>
      </c>
    </row>
    <row r="213" spans="1:5" x14ac:dyDescent="0.35">
      <c r="A213" t="s">
        <v>3</v>
      </c>
      <c r="B213" s="3">
        <v>46113</v>
      </c>
      <c r="C213">
        <v>109923</v>
      </c>
      <c r="D213">
        <f t="shared" si="3"/>
        <v>603674</v>
      </c>
      <c r="E213">
        <v>713597</v>
      </c>
    </row>
    <row r="214" spans="1:5" x14ac:dyDescent="0.35">
      <c r="A214" t="s">
        <v>4</v>
      </c>
      <c r="B214" s="3">
        <v>46113</v>
      </c>
      <c r="C214">
        <v>1249682</v>
      </c>
      <c r="D214">
        <f t="shared" si="3"/>
        <v>3238030</v>
      </c>
      <c r="E214">
        <v>4487712</v>
      </c>
    </row>
    <row r="215" spans="1:5" x14ac:dyDescent="0.35">
      <c r="A215" t="s">
        <v>5</v>
      </c>
      <c r="B215" s="3">
        <v>46113</v>
      </c>
      <c r="C215">
        <v>137972</v>
      </c>
      <c r="D215">
        <f t="shared" si="3"/>
        <v>388546</v>
      </c>
      <c r="E215">
        <v>526518</v>
      </c>
    </row>
    <row r="216" spans="1:5" x14ac:dyDescent="0.35">
      <c r="A216" t="s">
        <v>6</v>
      </c>
      <c r="B216" s="3">
        <v>46113</v>
      </c>
      <c r="C216">
        <v>25570</v>
      </c>
      <c r="D216">
        <f t="shared" si="3"/>
        <v>337449</v>
      </c>
      <c r="E216">
        <v>363019</v>
      </c>
    </row>
    <row r="217" spans="1:5" x14ac:dyDescent="0.35">
      <c r="A217" t="s">
        <v>7</v>
      </c>
      <c r="B217" s="3">
        <v>46113</v>
      </c>
      <c r="C217">
        <v>15713</v>
      </c>
      <c r="D217">
        <f t="shared" si="3"/>
        <v>77091</v>
      </c>
      <c r="E217">
        <v>92804</v>
      </c>
    </row>
    <row r="218" spans="1:5" x14ac:dyDescent="0.35">
      <c r="A218" t="s">
        <v>8</v>
      </c>
      <c r="B218" s="3">
        <v>46113</v>
      </c>
      <c r="C218">
        <v>13784</v>
      </c>
      <c r="D218">
        <f t="shared" si="3"/>
        <v>90849</v>
      </c>
      <c r="E218">
        <v>104633</v>
      </c>
    </row>
    <row r="219" spans="1:5" x14ac:dyDescent="0.35">
      <c r="A219" t="s">
        <v>9</v>
      </c>
      <c r="B219" s="3">
        <v>46113</v>
      </c>
      <c r="C219">
        <v>171606</v>
      </c>
      <c r="D219">
        <f t="shared" si="3"/>
        <v>2123101</v>
      </c>
      <c r="E219">
        <v>2294707</v>
      </c>
    </row>
    <row r="220" spans="1:5" x14ac:dyDescent="0.35">
      <c r="A220" t="s">
        <v>10</v>
      </c>
      <c r="B220" s="3">
        <v>46113</v>
      </c>
      <c r="C220">
        <v>174668</v>
      </c>
      <c r="D220">
        <f t="shared" si="3"/>
        <v>1114862</v>
      </c>
      <c r="E220">
        <v>1289530</v>
      </c>
    </row>
    <row r="221" spans="1:5" x14ac:dyDescent="0.35">
      <c r="A221" t="s">
        <v>11</v>
      </c>
      <c r="B221" s="3">
        <v>46113</v>
      </c>
      <c r="C221">
        <v>26010</v>
      </c>
      <c r="D221">
        <f t="shared" si="3"/>
        <v>128820</v>
      </c>
      <c r="E221">
        <v>154830</v>
      </c>
    </row>
    <row r="222" spans="1:5" x14ac:dyDescent="0.35">
      <c r="A222" t="s">
        <v>12</v>
      </c>
      <c r="B222" s="3">
        <v>46113</v>
      </c>
      <c r="C222">
        <v>83517</v>
      </c>
      <c r="D222">
        <f t="shared" si="3"/>
        <v>248461</v>
      </c>
      <c r="E222">
        <v>331978</v>
      </c>
    </row>
    <row r="223" spans="1:5" x14ac:dyDescent="0.35">
      <c r="A223" t="s">
        <v>13</v>
      </c>
      <c r="B223" s="3">
        <v>46113</v>
      </c>
      <c r="C223">
        <v>19597</v>
      </c>
      <c r="D223">
        <f t="shared" si="3"/>
        <v>132131</v>
      </c>
      <c r="E223">
        <v>151728</v>
      </c>
    </row>
    <row r="224" spans="1:5" x14ac:dyDescent="0.35">
      <c r="A224" t="s">
        <v>14</v>
      </c>
      <c r="B224" s="3">
        <v>46113</v>
      </c>
      <c r="C224">
        <v>304742</v>
      </c>
      <c r="D224">
        <f t="shared" si="3"/>
        <v>1030809</v>
      </c>
      <c r="E224">
        <v>1335551</v>
      </c>
    </row>
    <row r="225" spans="1:5" x14ac:dyDescent="0.35">
      <c r="A225" t="s">
        <v>15</v>
      </c>
      <c r="B225" s="3">
        <v>46113</v>
      </c>
      <c r="C225">
        <v>117023</v>
      </c>
      <c r="D225">
        <f t="shared" si="3"/>
        <v>542212</v>
      </c>
      <c r="E225">
        <v>659235</v>
      </c>
    </row>
    <row r="226" spans="1:5" x14ac:dyDescent="0.35">
      <c r="A226" t="s">
        <v>16</v>
      </c>
      <c r="B226" s="3">
        <v>46113</v>
      </c>
      <c r="C226">
        <v>70832</v>
      </c>
      <c r="D226">
        <f t="shared" si="3"/>
        <v>200127</v>
      </c>
      <c r="E226">
        <v>270959</v>
      </c>
    </row>
    <row r="227" spans="1:5" x14ac:dyDescent="0.35">
      <c r="A227" t="s">
        <v>17</v>
      </c>
      <c r="B227" s="3">
        <v>46113</v>
      </c>
      <c r="C227">
        <v>119910</v>
      </c>
      <c r="D227">
        <f t="shared" si="3"/>
        <v>446239</v>
      </c>
      <c r="E227">
        <v>566149</v>
      </c>
    </row>
    <row r="228" spans="1:5" x14ac:dyDescent="0.35">
      <c r="A228" t="s">
        <v>18</v>
      </c>
      <c r="B228" s="3">
        <v>46113</v>
      </c>
      <c r="C228">
        <v>131808</v>
      </c>
      <c r="D228">
        <f t="shared" si="3"/>
        <v>515076</v>
      </c>
      <c r="E228">
        <v>646884</v>
      </c>
    </row>
    <row r="229" spans="1:5" x14ac:dyDescent="0.35">
      <c r="A229" t="s">
        <v>19</v>
      </c>
      <c r="B229" s="3">
        <v>46113</v>
      </c>
      <c r="C229">
        <v>174695</v>
      </c>
      <c r="D229">
        <f t="shared" si="3"/>
        <v>487563</v>
      </c>
      <c r="E229">
        <v>662258</v>
      </c>
    </row>
    <row r="230" spans="1:5" x14ac:dyDescent="0.35">
      <c r="A230" t="s">
        <v>20</v>
      </c>
      <c r="B230" s="3">
        <v>46113</v>
      </c>
      <c r="C230">
        <v>196326</v>
      </c>
      <c r="D230">
        <f t="shared" si="3"/>
        <v>467444</v>
      </c>
      <c r="E230">
        <v>663770</v>
      </c>
    </row>
    <row r="231" spans="1:5" x14ac:dyDescent="0.35">
      <c r="A231" t="s">
        <v>21</v>
      </c>
      <c r="B231" s="3">
        <v>46113</v>
      </c>
      <c r="C231">
        <v>19858</v>
      </c>
      <c r="D231">
        <f t="shared" si="3"/>
        <v>118190</v>
      </c>
      <c r="E231">
        <v>138048</v>
      </c>
    </row>
    <row r="232" spans="1:5" x14ac:dyDescent="0.35">
      <c r="A232" t="s">
        <v>22</v>
      </c>
      <c r="B232" s="3">
        <v>46113</v>
      </c>
      <c r="C232">
        <v>165309</v>
      </c>
      <c r="D232">
        <f t="shared" si="3"/>
        <v>708103</v>
      </c>
      <c r="E232">
        <v>873412</v>
      </c>
    </row>
    <row r="233" spans="1:5" x14ac:dyDescent="0.35">
      <c r="A233" t="s">
        <v>23</v>
      </c>
      <c r="B233" s="3">
        <v>46113</v>
      </c>
      <c r="C233">
        <v>3968</v>
      </c>
      <c r="D233">
        <f t="shared" si="3"/>
        <v>590911</v>
      </c>
      <c r="E233">
        <v>594879</v>
      </c>
    </row>
    <row r="234" spans="1:5" x14ac:dyDescent="0.35">
      <c r="A234" t="s">
        <v>24</v>
      </c>
      <c r="B234" s="3">
        <v>46113</v>
      </c>
      <c r="C234">
        <v>132415</v>
      </c>
      <c r="D234">
        <f t="shared" si="3"/>
        <v>433982</v>
      </c>
      <c r="E234">
        <v>566397</v>
      </c>
    </row>
    <row r="235" spans="1:5" x14ac:dyDescent="0.35">
      <c r="A235" t="s">
        <v>25</v>
      </c>
      <c r="B235" s="3">
        <v>46113</v>
      </c>
      <c r="C235">
        <v>83125</v>
      </c>
      <c r="D235">
        <f t="shared" si="3"/>
        <v>306455</v>
      </c>
      <c r="E235">
        <v>389580</v>
      </c>
    </row>
    <row r="236" spans="1:5" x14ac:dyDescent="0.35">
      <c r="A236" t="s">
        <v>26</v>
      </c>
      <c r="B236" s="3">
        <v>46113</v>
      </c>
      <c r="C236">
        <v>19544</v>
      </c>
      <c r="D236">
        <f t="shared" si="3"/>
        <v>67544</v>
      </c>
      <c r="E236">
        <v>87088</v>
      </c>
    </row>
    <row r="237" spans="1:5" x14ac:dyDescent="0.35">
      <c r="A237" t="s">
        <v>27</v>
      </c>
      <c r="B237" s="3">
        <v>46113</v>
      </c>
      <c r="C237">
        <v>349014</v>
      </c>
      <c r="D237">
        <f t="shared" si="3"/>
        <v>1031283</v>
      </c>
      <c r="E237">
        <v>1380297</v>
      </c>
    </row>
    <row r="238" spans="1:5" x14ac:dyDescent="0.35">
      <c r="A238" t="s">
        <v>28</v>
      </c>
      <c r="B238" s="3">
        <v>46113</v>
      </c>
      <c r="C238">
        <v>5410</v>
      </c>
      <c r="D238">
        <f t="shared" si="3"/>
        <v>45244</v>
      </c>
      <c r="E238">
        <v>50654</v>
      </c>
    </row>
    <row r="239" spans="1:5" x14ac:dyDescent="0.35">
      <c r="A239" t="s">
        <v>29</v>
      </c>
      <c r="B239" s="3">
        <v>46113</v>
      </c>
      <c r="C239">
        <v>35874</v>
      </c>
      <c r="D239">
        <f t="shared" si="3"/>
        <v>133785</v>
      </c>
      <c r="E239">
        <v>169659</v>
      </c>
    </row>
    <row r="240" spans="1:5" x14ac:dyDescent="0.35">
      <c r="A240" t="s">
        <v>30</v>
      </c>
      <c r="B240" s="3">
        <v>46113</v>
      </c>
      <c r="C240">
        <v>18915</v>
      </c>
      <c r="D240">
        <f t="shared" si="3"/>
        <v>66076</v>
      </c>
      <c r="E240">
        <v>84991</v>
      </c>
    </row>
    <row r="241" spans="1:5" x14ac:dyDescent="0.35">
      <c r="A241" t="s">
        <v>31</v>
      </c>
      <c r="B241" s="3">
        <v>46113</v>
      </c>
      <c r="C241">
        <v>261154</v>
      </c>
      <c r="D241">
        <f t="shared" si="3"/>
        <v>547526</v>
      </c>
      <c r="E241">
        <v>808680</v>
      </c>
    </row>
    <row r="242" spans="1:5" x14ac:dyDescent="0.35">
      <c r="A242" t="s">
        <v>32</v>
      </c>
      <c r="B242" s="3">
        <v>46113</v>
      </c>
      <c r="C242">
        <v>42494</v>
      </c>
      <c r="D242">
        <f t="shared" si="3"/>
        <v>264188</v>
      </c>
      <c r="E242">
        <v>306682</v>
      </c>
    </row>
    <row r="243" spans="1:5" x14ac:dyDescent="0.35">
      <c r="A243" t="s">
        <v>33</v>
      </c>
      <c r="B243" s="3">
        <v>46113</v>
      </c>
      <c r="C243">
        <v>46080</v>
      </c>
      <c r="D243">
        <f t="shared" si="3"/>
        <v>266697</v>
      </c>
      <c r="E243">
        <v>312777</v>
      </c>
    </row>
    <row r="244" spans="1:5" x14ac:dyDescent="0.35">
      <c r="A244" t="s">
        <v>34</v>
      </c>
      <c r="B244" s="3">
        <v>46113</v>
      </c>
      <c r="C244">
        <v>650335</v>
      </c>
      <c r="D244">
        <f t="shared" si="3"/>
        <v>1779024</v>
      </c>
      <c r="E244">
        <v>2429359</v>
      </c>
    </row>
    <row r="245" spans="1:5" x14ac:dyDescent="0.35">
      <c r="A245" t="s">
        <v>35</v>
      </c>
      <c r="B245" s="3">
        <v>46113</v>
      </c>
      <c r="C245">
        <v>232871</v>
      </c>
      <c r="D245">
        <f t="shared" si="3"/>
        <v>896895</v>
      </c>
      <c r="E245">
        <v>1129766</v>
      </c>
    </row>
    <row r="246" spans="1:5" x14ac:dyDescent="0.35">
      <c r="A246" t="s">
        <v>36</v>
      </c>
      <c r="B246" s="3">
        <v>46113</v>
      </c>
      <c r="C246">
        <v>81057</v>
      </c>
      <c r="D246">
        <f t="shared" si="3"/>
        <v>421620</v>
      </c>
      <c r="E246">
        <v>502677</v>
      </c>
    </row>
    <row r="247" spans="1:5" x14ac:dyDescent="0.35">
      <c r="A247" t="s">
        <v>37</v>
      </c>
      <c r="B247" s="3">
        <v>46113</v>
      </c>
      <c r="C247">
        <v>180746</v>
      </c>
      <c r="D247">
        <f t="shared" si="3"/>
        <v>287248</v>
      </c>
      <c r="E247">
        <v>467994</v>
      </c>
    </row>
    <row r="248" spans="1:5" x14ac:dyDescent="0.35">
      <c r="A248" t="s">
        <v>38</v>
      </c>
      <c r="B248" s="3">
        <v>46113</v>
      </c>
      <c r="C248">
        <v>277094</v>
      </c>
      <c r="D248">
        <f t="shared" si="3"/>
        <v>1123335</v>
      </c>
      <c r="E248">
        <v>1400429</v>
      </c>
    </row>
    <row r="249" spans="1:5" x14ac:dyDescent="0.35">
      <c r="A249" t="s">
        <v>39</v>
      </c>
      <c r="B249" s="3">
        <v>46113</v>
      </c>
      <c r="C249">
        <v>33766</v>
      </c>
      <c r="D249">
        <f t="shared" si="3"/>
        <v>82732</v>
      </c>
      <c r="E249">
        <v>116498</v>
      </c>
    </row>
    <row r="250" spans="1:5" x14ac:dyDescent="0.35">
      <c r="A250" t="s">
        <v>40</v>
      </c>
      <c r="B250" s="3">
        <v>46113</v>
      </c>
      <c r="C250">
        <v>112428</v>
      </c>
      <c r="D250">
        <f t="shared" si="3"/>
        <v>484874</v>
      </c>
      <c r="E250">
        <v>597302</v>
      </c>
    </row>
    <row r="251" spans="1:5" x14ac:dyDescent="0.35">
      <c r="A251" t="s">
        <v>41</v>
      </c>
      <c r="B251" s="3">
        <v>46113</v>
      </c>
      <c r="C251">
        <v>14453</v>
      </c>
      <c r="D251">
        <f t="shared" si="3"/>
        <v>61945</v>
      </c>
      <c r="E251">
        <v>76398</v>
      </c>
    </row>
    <row r="252" spans="1:5" x14ac:dyDescent="0.35">
      <c r="A252" t="s">
        <v>42</v>
      </c>
      <c r="B252" s="3">
        <v>46113</v>
      </c>
      <c r="C252">
        <v>181381</v>
      </c>
      <c r="D252">
        <f t="shared" si="3"/>
        <v>640928</v>
      </c>
      <c r="E252">
        <v>822309</v>
      </c>
    </row>
    <row r="253" spans="1:5" x14ac:dyDescent="0.35">
      <c r="A253" t="s">
        <v>43</v>
      </c>
      <c r="B253" s="3">
        <v>46113</v>
      </c>
      <c r="C253">
        <v>333003</v>
      </c>
      <c r="D253">
        <f t="shared" si="3"/>
        <v>2683769</v>
      </c>
      <c r="E253">
        <v>3016772</v>
      </c>
    </row>
    <row r="254" spans="1:5" x14ac:dyDescent="0.35">
      <c r="A254" t="s">
        <v>44</v>
      </c>
      <c r="B254" s="3">
        <v>46113</v>
      </c>
      <c r="C254">
        <v>34242</v>
      </c>
      <c r="D254">
        <f t="shared" si="3"/>
        <v>127477</v>
      </c>
      <c r="E254">
        <v>161719</v>
      </c>
    </row>
    <row r="255" spans="1:5" x14ac:dyDescent="0.35">
      <c r="A255" t="s">
        <v>45</v>
      </c>
      <c r="B255" s="3">
        <v>46113</v>
      </c>
      <c r="C255">
        <v>189054</v>
      </c>
      <c r="D255">
        <f t="shared" si="3"/>
        <v>600395</v>
      </c>
      <c r="E255">
        <v>789449</v>
      </c>
    </row>
    <row r="256" spans="1:5" x14ac:dyDescent="0.35">
      <c r="A256" t="s">
        <v>46</v>
      </c>
      <c r="B256" s="3">
        <v>46113</v>
      </c>
      <c r="C256">
        <v>5527</v>
      </c>
      <c r="D256">
        <f t="shared" si="3"/>
        <v>51196</v>
      </c>
      <c r="E256">
        <v>56723</v>
      </c>
    </row>
    <row r="257" spans="1:5" x14ac:dyDescent="0.35">
      <c r="A257" t="s">
        <v>47</v>
      </c>
      <c r="B257" s="3">
        <v>46113</v>
      </c>
      <c r="C257">
        <v>61666</v>
      </c>
      <c r="D257">
        <f t="shared" si="3"/>
        <v>752954</v>
      </c>
      <c r="E257">
        <v>814620</v>
      </c>
    </row>
    <row r="258" spans="1:5" x14ac:dyDescent="0.35">
      <c r="A258" t="s">
        <v>48</v>
      </c>
      <c r="B258" s="3">
        <v>46113</v>
      </c>
      <c r="C258">
        <v>97222</v>
      </c>
      <c r="D258">
        <f t="shared" si="3"/>
        <v>435349</v>
      </c>
      <c r="E258">
        <v>532571</v>
      </c>
    </row>
    <row r="259" spans="1:5" x14ac:dyDescent="0.35">
      <c r="A259" t="s">
        <v>49</v>
      </c>
      <c r="B259" s="3">
        <v>46113</v>
      </c>
      <c r="C259">
        <v>39040</v>
      </c>
      <c r="D259">
        <f t="shared" ref="D259:D261" si="4">E259-C259</f>
        <v>153779</v>
      </c>
      <c r="E259">
        <v>192819</v>
      </c>
    </row>
    <row r="260" spans="1:5" x14ac:dyDescent="0.35">
      <c r="A260" t="s">
        <v>50</v>
      </c>
      <c r="B260" s="3">
        <v>46113</v>
      </c>
      <c r="C260">
        <v>6065</v>
      </c>
      <c r="D260">
        <f t="shared" si="4"/>
        <v>34770</v>
      </c>
      <c r="E260">
        <v>40835</v>
      </c>
    </row>
    <row r="261" spans="1:5" x14ac:dyDescent="0.35">
      <c r="A261" s="1" t="s">
        <v>63</v>
      </c>
      <c r="B261" s="8">
        <v>46113</v>
      </c>
      <c r="C261" s="1">
        <f>SUM(C210:C260)</f>
        <v>7145807</v>
      </c>
      <c r="D261" s="1">
        <f>E261-C261</f>
        <v>28235643</v>
      </c>
      <c r="E261" s="1">
        <f>SUM(E210:E260)</f>
        <v>35381450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D0142-E9C6-4992-9A6E-21A65D208859}">
  <dimension ref="A1:E53"/>
  <sheetViews>
    <sheetView workbookViewId="0">
      <selection activeCell="D1" sqref="D1:E1"/>
    </sheetView>
  </sheetViews>
  <sheetFormatPr defaultRowHeight="14.5" x14ac:dyDescent="0.35"/>
  <cols>
    <col min="1" max="1" width="17.81640625" bestFit="1" customWidth="1"/>
    <col min="2" max="2" width="15.54296875" bestFit="1" customWidth="1"/>
    <col min="3" max="3" width="20.1796875" bestFit="1" customWidth="1"/>
    <col min="4" max="4" width="24.08984375" bestFit="1" customWidth="1"/>
    <col min="5" max="5" width="31.7265625" bestFit="1" customWidth="1"/>
  </cols>
  <sheetData>
    <row r="1" spans="1:5" x14ac:dyDescent="0.35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35">
      <c r="A2" t="s">
        <v>0</v>
      </c>
      <c r="B2" s="3">
        <v>44986</v>
      </c>
      <c r="C2">
        <v>12150</v>
      </c>
      <c r="D2">
        <f>E2-C2</f>
        <v>93516</v>
      </c>
      <c r="E2">
        <v>105666</v>
      </c>
    </row>
    <row r="3" spans="1:5" x14ac:dyDescent="0.35">
      <c r="A3" t="s">
        <v>1</v>
      </c>
      <c r="B3" s="3">
        <v>44986</v>
      </c>
      <c r="C3">
        <v>205536</v>
      </c>
      <c r="D3">
        <f>E3-C3</f>
        <v>596195</v>
      </c>
      <c r="E3">
        <v>801731</v>
      </c>
    </row>
    <row r="4" spans="1:5" x14ac:dyDescent="0.35">
      <c r="A4" t="s">
        <v>2</v>
      </c>
      <c r="B4" s="3">
        <v>44986</v>
      </c>
      <c r="C4">
        <v>75026</v>
      </c>
      <c r="D4">
        <f>E4-C4</f>
        <v>404879</v>
      </c>
      <c r="E4">
        <v>479905</v>
      </c>
    </row>
    <row r="5" spans="1:5" x14ac:dyDescent="0.35">
      <c r="A5" t="s">
        <v>3</v>
      </c>
      <c r="B5" s="3">
        <v>44986</v>
      </c>
      <c r="C5">
        <v>147213</v>
      </c>
      <c r="D5" t="s">
        <v>156</v>
      </c>
      <c r="E5">
        <v>0</v>
      </c>
    </row>
    <row r="6" spans="1:5" x14ac:dyDescent="0.35">
      <c r="A6" t="s">
        <v>4</v>
      </c>
      <c r="B6" s="3">
        <v>44986</v>
      </c>
      <c r="C6">
        <v>1297814</v>
      </c>
      <c r="D6">
        <f>E6-C6</f>
        <v>3997740</v>
      </c>
      <c r="E6">
        <v>5295554</v>
      </c>
    </row>
    <row r="7" spans="1:5" x14ac:dyDescent="0.35">
      <c r="A7" t="s">
        <v>5</v>
      </c>
      <c r="B7" s="3">
        <v>44986</v>
      </c>
      <c r="C7">
        <v>119896</v>
      </c>
      <c r="D7">
        <f>E7-C7</f>
        <v>533164</v>
      </c>
      <c r="E7">
        <v>653060</v>
      </c>
    </row>
    <row r="8" spans="1:5" x14ac:dyDescent="0.35">
      <c r="A8" t="s">
        <v>6</v>
      </c>
      <c r="B8" s="3">
        <v>44986</v>
      </c>
      <c r="C8">
        <v>13667</v>
      </c>
      <c r="D8">
        <f>E8-C8</f>
        <v>357501</v>
      </c>
      <c r="E8">
        <v>371168</v>
      </c>
    </row>
    <row r="9" spans="1:5" x14ac:dyDescent="0.35">
      <c r="A9" t="s">
        <v>7</v>
      </c>
      <c r="B9" s="3">
        <v>44986</v>
      </c>
      <c r="C9">
        <v>16242</v>
      </c>
      <c r="D9">
        <f>E9-C9</f>
        <v>84946</v>
      </c>
      <c r="E9">
        <v>101188</v>
      </c>
    </row>
    <row r="10" spans="1:5" x14ac:dyDescent="0.35">
      <c r="A10" t="s">
        <v>8</v>
      </c>
      <c r="B10" s="3">
        <v>44986</v>
      </c>
      <c r="C10">
        <v>6541</v>
      </c>
      <c r="D10">
        <f>E10-C10</f>
        <v>118352</v>
      </c>
      <c r="E10">
        <v>124893</v>
      </c>
    </row>
    <row r="11" spans="1:5" x14ac:dyDescent="0.35">
      <c r="A11" t="s">
        <v>9</v>
      </c>
      <c r="B11" s="3">
        <v>44986</v>
      </c>
      <c r="C11">
        <v>87798</v>
      </c>
      <c r="D11">
        <f>E11-C11</f>
        <v>3006508</v>
      </c>
      <c r="E11">
        <v>3094306</v>
      </c>
    </row>
    <row r="12" spans="1:5" x14ac:dyDescent="0.35">
      <c r="A12" t="s">
        <v>10</v>
      </c>
      <c r="B12" s="3">
        <v>44986</v>
      </c>
      <c r="C12">
        <v>325706</v>
      </c>
      <c r="D12">
        <f>E12-C12</f>
        <v>1411272</v>
      </c>
      <c r="E12">
        <v>1736978</v>
      </c>
    </row>
    <row r="13" spans="1:5" x14ac:dyDescent="0.35">
      <c r="A13" t="s">
        <v>11</v>
      </c>
      <c r="B13" s="3">
        <v>44986</v>
      </c>
      <c r="C13">
        <v>24181</v>
      </c>
      <c r="D13">
        <f>E13-C13</f>
        <v>142118</v>
      </c>
      <c r="E13">
        <v>166299</v>
      </c>
    </row>
    <row r="14" spans="1:5" x14ac:dyDescent="0.35">
      <c r="A14" t="s">
        <v>12</v>
      </c>
      <c r="B14" s="3">
        <v>44986</v>
      </c>
      <c r="C14">
        <v>69846</v>
      </c>
      <c r="D14">
        <f>E14-C14</f>
        <v>318341</v>
      </c>
      <c r="E14">
        <v>388187</v>
      </c>
    </row>
    <row r="15" spans="1:5" x14ac:dyDescent="0.35">
      <c r="A15" t="s">
        <v>13</v>
      </c>
      <c r="B15" s="3">
        <v>44986</v>
      </c>
      <c r="C15">
        <v>39369</v>
      </c>
      <c r="D15">
        <f>E15-C15</f>
        <v>172679</v>
      </c>
      <c r="E15">
        <v>212048</v>
      </c>
    </row>
    <row r="16" spans="1:5" x14ac:dyDescent="0.35">
      <c r="A16" t="s">
        <v>14</v>
      </c>
      <c r="B16" s="3">
        <v>44986</v>
      </c>
      <c r="C16">
        <v>346416</v>
      </c>
      <c r="D16">
        <f>E16-C16</f>
        <v>1227847</v>
      </c>
      <c r="E16">
        <v>1574263</v>
      </c>
    </row>
    <row r="17" spans="1:5" x14ac:dyDescent="0.35">
      <c r="A17" t="s">
        <v>15</v>
      </c>
      <c r="B17" s="3">
        <v>44986</v>
      </c>
      <c r="C17">
        <v>136704</v>
      </c>
      <c r="D17">
        <f>E17-C17</f>
        <v>750949</v>
      </c>
      <c r="E17">
        <v>887653</v>
      </c>
    </row>
    <row r="18" spans="1:5" x14ac:dyDescent="0.35">
      <c r="A18" t="s">
        <v>16</v>
      </c>
      <c r="B18" s="3">
        <v>44986</v>
      </c>
      <c r="C18">
        <v>68364</v>
      </c>
      <c r="D18">
        <f>E18-C18</f>
        <v>269538</v>
      </c>
      <c r="E18">
        <v>337902</v>
      </c>
    </row>
    <row r="19" spans="1:5" x14ac:dyDescent="0.35">
      <c r="A19" t="s">
        <v>17</v>
      </c>
      <c r="B19" s="3">
        <v>44986</v>
      </c>
      <c r="C19">
        <v>143601</v>
      </c>
      <c r="D19">
        <f>E19-C19</f>
        <v>505675</v>
      </c>
      <c r="E19">
        <v>649276</v>
      </c>
    </row>
    <row r="20" spans="1:5" x14ac:dyDescent="0.35">
      <c r="A20" t="s">
        <v>18</v>
      </c>
      <c r="B20" s="3">
        <v>44986</v>
      </c>
      <c r="C20">
        <v>189203</v>
      </c>
      <c r="D20">
        <f>E20-C20</f>
        <v>616118</v>
      </c>
      <c r="E20">
        <v>805321</v>
      </c>
    </row>
    <row r="21" spans="1:5" x14ac:dyDescent="0.35">
      <c r="A21" t="s">
        <v>19</v>
      </c>
      <c r="B21" s="3">
        <v>44986</v>
      </c>
      <c r="C21">
        <v>210420</v>
      </c>
      <c r="D21">
        <f>E21-C21</f>
        <v>554415</v>
      </c>
      <c r="E21">
        <v>764835</v>
      </c>
    </row>
    <row r="22" spans="1:5" x14ac:dyDescent="0.35">
      <c r="A22" t="s">
        <v>20</v>
      </c>
      <c r="B22" s="3">
        <v>44986</v>
      </c>
      <c r="C22">
        <v>166163</v>
      </c>
      <c r="D22">
        <f>E22-C22</f>
        <v>567504</v>
      </c>
      <c r="E22">
        <v>733667</v>
      </c>
    </row>
    <row r="23" spans="1:5" x14ac:dyDescent="0.35">
      <c r="A23" t="s">
        <v>21</v>
      </c>
      <c r="B23" s="3">
        <v>44986</v>
      </c>
      <c r="C23">
        <v>15641</v>
      </c>
      <c r="D23">
        <f>E23-C23</f>
        <v>122548</v>
      </c>
      <c r="E23">
        <v>138189</v>
      </c>
    </row>
    <row r="24" spans="1:5" x14ac:dyDescent="0.35">
      <c r="A24" t="s">
        <v>22</v>
      </c>
      <c r="B24" s="3">
        <v>44986</v>
      </c>
      <c r="C24">
        <v>143833</v>
      </c>
      <c r="D24">
        <f>E24-C24</f>
        <v>989818</v>
      </c>
      <c r="E24">
        <v>1133651</v>
      </c>
    </row>
    <row r="25" spans="1:5" x14ac:dyDescent="0.35">
      <c r="A25" t="s">
        <v>23</v>
      </c>
      <c r="B25" s="3">
        <v>44986</v>
      </c>
      <c r="C25">
        <v>3313</v>
      </c>
      <c r="D25">
        <f>E25-C25</f>
        <v>640361</v>
      </c>
      <c r="E25">
        <v>643674</v>
      </c>
    </row>
    <row r="26" spans="1:5" x14ac:dyDescent="0.35">
      <c r="A26" t="s">
        <v>24</v>
      </c>
      <c r="B26" s="3">
        <v>44986</v>
      </c>
      <c r="C26">
        <v>39895</v>
      </c>
      <c r="D26">
        <f>E26-C26</f>
        <v>715873</v>
      </c>
      <c r="E26">
        <v>755768</v>
      </c>
    </row>
    <row r="27" spans="1:5" x14ac:dyDescent="0.35">
      <c r="A27" t="s">
        <v>25</v>
      </c>
      <c r="B27" s="3">
        <v>44986</v>
      </c>
      <c r="C27">
        <v>77568</v>
      </c>
      <c r="D27">
        <f>E27-C27</f>
        <v>402777</v>
      </c>
      <c r="E27">
        <v>480345</v>
      </c>
    </row>
    <row r="28" spans="1:5" x14ac:dyDescent="0.35">
      <c r="A28" t="s">
        <v>26</v>
      </c>
      <c r="B28" s="3">
        <v>44986</v>
      </c>
      <c r="C28">
        <v>28814</v>
      </c>
      <c r="D28">
        <f>E28-C28</f>
        <v>104038</v>
      </c>
      <c r="E28">
        <v>132852</v>
      </c>
    </row>
    <row r="29" spans="1:5" x14ac:dyDescent="0.35">
      <c r="A29" t="s">
        <v>27</v>
      </c>
      <c r="B29" s="3">
        <v>44986</v>
      </c>
      <c r="C29">
        <v>300301</v>
      </c>
      <c r="D29">
        <f>E29-C29</f>
        <v>1106530</v>
      </c>
      <c r="E29">
        <v>1406831</v>
      </c>
    </row>
    <row r="30" spans="1:5" x14ac:dyDescent="0.35">
      <c r="A30" t="s">
        <v>28</v>
      </c>
      <c r="B30" s="3">
        <v>44986</v>
      </c>
      <c r="C30">
        <v>3881</v>
      </c>
      <c r="D30">
        <f>E30-C30</f>
        <v>55827</v>
      </c>
      <c r="E30">
        <v>59708</v>
      </c>
    </row>
    <row r="31" spans="1:5" x14ac:dyDescent="0.35">
      <c r="A31" t="s">
        <v>29</v>
      </c>
      <c r="B31" s="3">
        <v>44986</v>
      </c>
      <c r="C31">
        <v>42529</v>
      </c>
      <c r="D31">
        <f>E31-C31</f>
        <v>161824</v>
      </c>
      <c r="E31">
        <v>204353</v>
      </c>
    </row>
    <row r="32" spans="1:5" x14ac:dyDescent="0.35">
      <c r="A32" t="s">
        <v>30</v>
      </c>
      <c r="B32" s="3">
        <v>44986</v>
      </c>
      <c r="C32">
        <v>23704</v>
      </c>
      <c r="D32">
        <f>E32-C32</f>
        <v>84159</v>
      </c>
      <c r="E32">
        <v>107863</v>
      </c>
    </row>
    <row r="33" spans="1:5" x14ac:dyDescent="0.35">
      <c r="A33" t="s">
        <v>31</v>
      </c>
      <c r="B33" s="3">
        <v>44986</v>
      </c>
      <c r="C33">
        <v>268685</v>
      </c>
      <c r="D33">
        <f>E33-C33</f>
        <v>693281</v>
      </c>
      <c r="E33">
        <v>961966</v>
      </c>
    </row>
    <row r="34" spans="1:5" x14ac:dyDescent="0.35">
      <c r="A34" t="s">
        <v>32</v>
      </c>
      <c r="B34" s="3">
        <v>44986</v>
      </c>
      <c r="C34">
        <v>54184</v>
      </c>
      <c r="D34">
        <f>E34-C34</f>
        <v>331330</v>
      </c>
      <c r="E34">
        <v>385514</v>
      </c>
    </row>
    <row r="35" spans="1:5" x14ac:dyDescent="0.35">
      <c r="A35" t="s">
        <v>33</v>
      </c>
      <c r="B35" s="3">
        <v>44986</v>
      </c>
      <c r="C35">
        <v>55698</v>
      </c>
      <c r="D35">
        <f>E35-C35</f>
        <v>309696</v>
      </c>
      <c r="E35">
        <v>365394</v>
      </c>
    </row>
    <row r="36" spans="1:5" x14ac:dyDescent="0.35">
      <c r="A36" t="s">
        <v>34</v>
      </c>
      <c r="B36" s="3">
        <v>44986</v>
      </c>
      <c r="C36">
        <v>529246</v>
      </c>
      <c r="D36">
        <f>E36-C36</f>
        <v>2096997</v>
      </c>
      <c r="E36">
        <v>2626243</v>
      </c>
    </row>
    <row r="37" spans="1:5" x14ac:dyDescent="0.35">
      <c r="A37" t="s">
        <v>35</v>
      </c>
      <c r="B37" s="3">
        <v>44986</v>
      </c>
      <c r="C37">
        <v>254452</v>
      </c>
      <c r="D37">
        <f>E37-C37</f>
        <v>1109449</v>
      </c>
      <c r="E37">
        <v>1363901</v>
      </c>
    </row>
    <row r="38" spans="1:5" x14ac:dyDescent="0.35">
      <c r="A38" t="s">
        <v>36</v>
      </c>
      <c r="B38" s="3">
        <v>44986</v>
      </c>
      <c r="C38">
        <v>143251</v>
      </c>
      <c r="D38">
        <f>E38-C38</f>
        <v>507919</v>
      </c>
      <c r="E38">
        <v>651170</v>
      </c>
    </row>
    <row r="39" spans="1:5" x14ac:dyDescent="0.35">
      <c r="A39" t="s">
        <v>37</v>
      </c>
      <c r="B39" s="3">
        <v>44986</v>
      </c>
      <c r="C39">
        <v>188991</v>
      </c>
      <c r="D39">
        <f>E39-C39</f>
        <v>305649</v>
      </c>
      <c r="E39">
        <v>494640</v>
      </c>
    </row>
    <row r="40" spans="1:5" x14ac:dyDescent="0.35">
      <c r="A40" t="s">
        <v>38</v>
      </c>
      <c r="B40" s="3">
        <v>44986</v>
      </c>
      <c r="C40">
        <v>250984</v>
      </c>
      <c r="D40">
        <f>E40-C40</f>
        <v>1333346</v>
      </c>
      <c r="E40">
        <v>1584330</v>
      </c>
    </row>
    <row r="41" spans="1:5" x14ac:dyDescent="0.35">
      <c r="A41" t="s">
        <v>39</v>
      </c>
      <c r="B41" s="3">
        <v>44986</v>
      </c>
      <c r="C41">
        <v>37124</v>
      </c>
      <c r="D41">
        <f>E41-C41</f>
        <v>92887</v>
      </c>
      <c r="E41">
        <v>130011</v>
      </c>
    </row>
    <row r="42" spans="1:5" x14ac:dyDescent="0.35">
      <c r="A42" t="s">
        <v>40</v>
      </c>
      <c r="B42" s="3">
        <v>44986</v>
      </c>
      <c r="C42">
        <v>111786</v>
      </c>
      <c r="D42">
        <f>E42-C42</f>
        <v>648153</v>
      </c>
      <c r="E42">
        <v>759939</v>
      </c>
    </row>
    <row r="43" spans="1:5" x14ac:dyDescent="0.35">
      <c r="A43" t="s">
        <v>41</v>
      </c>
      <c r="B43" s="3">
        <v>44986</v>
      </c>
      <c r="C43">
        <v>19452</v>
      </c>
      <c r="D43">
        <f>E43-C43</f>
        <v>82683</v>
      </c>
      <c r="E43">
        <v>102135</v>
      </c>
    </row>
    <row r="44" spans="1:5" x14ac:dyDescent="0.35">
      <c r="A44" t="s">
        <v>42</v>
      </c>
      <c r="B44" s="3">
        <v>44986</v>
      </c>
      <c r="C44">
        <v>148032</v>
      </c>
      <c r="D44">
        <f>E44-C44</f>
        <v>801706</v>
      </c>
      <c r="E44">
        <v>949738</v>
      </c>
    </row>
    <row r="45" spans="1:5" x14ac:dyDescent="0.35">
      <c r="A45" t="s">
        <v>43</v>
      </c>
      <c r="B45" s="3">
        <v>44986</v>
      </c>
      <c r="C45">
        <v>281452</v>
      </c>
      <c r="D45">
        <f>E45-C45</f>
        <v>4090702</v>
      </c>
      <c r="E45">
        <v>4372154</v>
      </c>
    </row>
    <row r="46" spans="1:5" x14ac:dyDescent="0.35">
      <c r="A46" t="s">
        <v>44</v>
      </c>
      <c r="B46" s="3">
        <v>44986</v>
      </c>
      <c r="C46">
        <v>38339</v>
      </c>
      <c r="D46">
        <f>E46-C46</f>
        <v>201228</v>
      </c>
      <c r="E46">
        <v>239567</v>
      </c>
    </row>
    <row r="47" spans="1:5" x14ac:dyDescent="0.35">
      <c r="A47" t="s">
        <v>45</v>
      </c>
      <c r="B47" s="3">
        <v>44986</v>
      </c>
      <c r="C47">
        <v>192748</v>
      </c>
      <c r="D47">
        <f>E47-C47</f>
        <v>744703</v>
      </c>
      <c r="E47">
        <v>937451</v>
      </c>
    </row>
    <row r="48" spans="1:5" x14ac:dyDescent="0.35">
      <c r="A48" t="s">
        <v>46</v>
      </c>
      <c r="B48" s="3">
        <v>44986</v>
      </c>
      <c r="C48">
        <v>4584</v>
      </c>
      <c r="D48">
        <f>E48-C48</f>
        <v>60863</v>
      </c>
      <c r="E48">
        <v>65447</v>
      </c>
    </row>
    <row r="49" spans="1:5" x14ac:dyDescent="0.35">
      <c r="A49" t="s">
        <v>47</v>
      </c>
      <c r="B49" s="3">
        <v>44986</v>
      </c>
      <c r="C49">
        <v>80027</v>
      </c>
      <c r="D49">
        <f>E49-C49</f>
        <v>830541</v>
      </c>
      <c r="E49">
        <v>910568</v>
      </c>
    </row>
    <row r="50" spans="1:5" x14ac:dyDescent="0.35">
      <c r="A50" t="s">
        <v>48</v>
      </c>
      <c r="B50" s="3">
        <v>44986</v>
      </c>
      <c r="C50">
        <v>79903</v>
      </c>
      <c r="D50">
        <f>E50-C50</f>
        <v>568864</v>
      </c>
      <c r="E50">
        <v>648767</v>
      </c>
    </row>
    <row r="51" spans="1:5" x14ac:dyDescent="0.35">
      <c r="A51" t="s">
        <v>49</v>
      </c>
      <c r="B51" s="3">
        <v>44986</v>
      </c>
      <c r="C51">
        <v>37872</v>
      </c>
      <c r="D51">
        <f>E51-C51</f>
        <v>200202</v>
      </c>
      <c r="E51">
        <v>238074</v>
      </c>
    </row>
    <row r="52" spans="1:5" x14ac:dyDescent="0.35">
      <c r="A52" t="s">
        <v>50</v>
      </c>
      <c r="B52" s="3">
        <v>44986</v>
      </c>
      <c r="C52">
        <v>5303</v>
      </c>
      <c r="D52">
        <f>E52-C52</f>
        <v>48085</v>
      </c>
      <c r="E52">
        <v>53388</v>
      </c>
    </row>
    <row r="53" spans="1:5" x14ac:dyDescent="0.35">
      <c r="A53" s="1" t="s">
        <v>63</v>
      </c>
      <c r="B53" s="8">
        <v>44986</v>
      </c>
      <c r="C53" s="1">
        <f>SUM(C2:C52)</f>
        <v>7163448</v>
      </c>
      <c r="D53" s="1">
        <f>SUM(D2:D52)</f>
        <v>35171296</v>
      </c>
      <c r="E53" s="1">
        <f>SUM(E2:E52)</f>
        <v>42187531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36"/>
  <sheetViews>
    <sheetView workbookViewId="0">
      <selection activeCell="J21" sqref="J21"/>
    </sheetView>
  </sheetViews>
  <sheetFormatPr defaultRowHeight="14.5" x14ac:dyDescent="0.35"/>
  <cols>
    <col min="1" max="1" width="18.7265625" bestFit="1" customWidth="1"/>
    <col min="2" max="2" width="18.7265625" customWidth="1"/>
    <col min="3" max="3" width="14.7265625" style="2" bestFit="1" customWidth="1"/>
  </cols>
  <sheetData>
    <row r="1" spans="1:3" s="1" customFormat="1" x14ac:dyDescent="0.35">
      <c r="A1" s="1" t="s">
        <v>51</v>
      </c>
      <c r="B1" s="1" t="s">
        <v>52</v>
      </c>
      <c r="C1" s="6" t="s">
        <v>62</v>
      </c>
    </row>
    <row r="2" spans="1:3" x14ac:dyDescent="0.35">
      <c r="A2" t="s">
        <v>7</v>
      </c>
      <c r="B2" s="3">
        <v>46023</v>
      </c>
      <c r="C2" s="2">
        <v>15722</v>
      </c>
    </row>
    <row r="3" spans="1:3" x14ac:dyDescent="0.35">
      <c r="A3" t="s">
        <v>23</v>
      </c>
      <c r="B3" s="3">
        <v>46023</v>
      </c>
      <c r="C3" s="2">
        <v>78540</v>
      </c>
    </row>
    <row r="4" spans="1:3" x14ac:dyDescent="0.35">
      <c r="A4" t="s">
        <v>34</v>
      </c>
      <c r="B4" s="3">
        <v>46023</v>
      </c>
      <c r="C4" s="2">
        <v>1720756</v>
      </c>
    </row>
    <row r="5" spans="1:3" x14ac:dyDescent="0.35">
      <c r="A5" t="s">
        <v>37</v>
      </c>
      <c r="B5" s="3">
        <v>46023</v>
      </c>
      <c r="C5" s="2">
        <v>37740</v>
      </c>
    </row>
    <row r="6" spans="1:3" x14ac:dyDescent="0.35">
      <c r="A6" t="s">
        <v>63</v>
      </c>
      <c r="B6" s="3">
        <v>46023</v>
      </c>
      <c r="C6" s="2">
        <f>SUM(C2:C5)</f>
        <v>1852758</v>
      </c>
    </row>
    <row r="7" spans="1:3" x14ac:dyDescent="0.35">
      <c r="A7" t="s">
        <v>7</v>
      </c>
      <c r="B7" s="3">
        <v>46054</v>
      </c>
      <c r="C7" s="2" t="s">
        <v>82</v>
      </c>
    </row>
    <row r="8" spans="1:3" x14ac:dyDescent="0.35">
      <c r="A8" t="s">
        <v>23</v>
      </c>
      <c r="B8" s="3">
        <v>46054</v>
      </c>
      <c r="C8" s="2">
        <v>73536</v>
      </c>
    </row>
    <row r="9" spans="1:3" x14ac:dyDescent="0.35">
      <c r="A9" t="s">
        <v>34</v>
      </c>
      <c r="B9" s="3">
        <v>46054</v>
      </c>
      <c r="C9" s="2">
        <v>1714745</v>
      </c>
    </row>
    <row r="10" spans="1:3" x14ac:dyDescent="0.35">
      <c r="A10" t="s">
        <v>37</v>
      </c>
      <c r="B10" s="3">
        <v>46054</v>
      </c>
      <c r="C10" s="2">
        <v>39281</v>
      </c>
    </row>
    <row r="11" spans="1:3" x14ac:dyDescent="0.35">
      <c r="A11" t="s">
        <v>63</v>
      </c>
      <c r="B11" s="3">
        <v>46054</v>
      </c>
      <c r="C11" s="2" t="s">
        <v>82</v>
      </c>
    </row>
    <row r="12" spans="1:3" x14ac:dyDescent="0.35">
      <c r="A12" t="s">
        <v>7</v>
      </c>
      <c r="B12" s="3">
        <v>46082</v>
      </c>
      <c r="C12" s="2" t="s">
        <v>82</v>
      </c>
    </row>
    <row r="13" spans="1:3" x14ac:dyDescent="0.35">
      <c r="A13" t="s">
        <v>23</v>
      </c>
      <c r="B13" s="3">
        <v>46082</v>
      </c>
      <c r="C13" s="2">
        <v>79760</v>
      </c>
    </row>
    <row r="14" spans="1:3" x14ac:dyDescent="0.35">
      <c r="A14" t="s">
        <v>34</v>
      </c>
      <c r="B14" s="3">
        <v>46082</v>
      </c>
      <c r="C14" s="2">
        <v>1691590</v>
      </c>
    </row>
    <row r="15" spans="1:3" x14ac:dyDescent="0.35">
      <c r="A15" t="s">
        <v>37</v>
      </c>
      <c r="B15" s="3">
        <v>46082</v>
      </c>
      <c r="C15" s="2">
        <v>41845</v>
      </c>
    </row>
    <row r="16" spans="1:3" x14ac:dyDescent="0.35">
      <c r="A16" t="s">
        <v>63</v>
      </c>
      <c r="B16" s="3">
        <v>46082</v>
      </c>
      <c r="C16" s="2" t="s">
        <v>82</v>
      </c>
    </row>
    <row r="17" spans="1:3" x14ac:dyDescent="0.35">
      <c r="A17" t="s">
        <v>7</v>
      </c>
      <c r="B17" s="3">
        <v>46113</v>
      </c>
      <c r="C17" s="2" t="s">
        <v>82</v>
      </c>
    </row>
    <row r="18" spans="1:3" x14ac:dyDescent="0.35">
      <c r="A18" t="s">
        <v>23</v>
      </c>
      <c r="B18" s="3">
        <v>46113</v>
      </c>
      <c r="C18" s="2">
        <v>84636</v>
      </c>
    </row>
    <row r="19" spans="1:3" x14ac:dyDescent="0.35">
      <c r="A19" t="s">
        <v>34</v>
      </c>
      <c r="B19" s="3">
        <v>46113</v>
      </c>
      <c r="C19" s="2">
        <v>1679154</v>
      </c>
    </row>
    <row r="20" spans="1:3" x14ac:dyDescent="0.35">
      <c r="A20" t="s">
        <v>37</v>
      </c>
      <c r="B20" s="3">
        <v>46113</v>
      </c>
      <c r="C20" s="2">
        <v>44743</v>
      </c>
    </row>
    <row r="21" spans="1:3" x14ac:dyDescent="0.35">
      <c r="A21" t="s">
        <v>63</v>
      </c>
      <c r="B21" s="3">
        <v>46113</v>
      </c>
      <c r="C21" s="2" t="s">
        <v>82</v>
      </c>
    </row>
    <row r="22" spans="1:3" x14ac:dyDescent="0.35">
      <c r="A22" t="s">
        <v>7</v>
      </c>
      <c r="B22" s="3">
        <v>46143</v>
      </c>
    </row>
    <row r="23" spans="1:3" x14ac:dyDescent="0.35">
      <c r="A23" t="s">
        <v>23</v>
      </c>
      <c r="B23" s="3">
        <v>46143</v>
      </c>
      <c r="C23" s="2">
        <v>87391</v>
      </c>
    </row>
    <row r="24" spans="1:3" x14ac:dyDescent="0.35">
      <c r="A24" t="s">
        <v>34</v>
      </c>
      <c r="B24" s="3">
        <v>46143</v>
      </c>
    </row>
    <row r="25" spans="1:3" x14ac:dyDescent="0.35">
      <c r="A25" t="s">
        <v>37</v>
      </c>
      <c r="B25" s="3">
        <v>46143</v>
      </c>
      <c r="C25" s="2">
        <v>46104</v>
      </c>
    </row>
    <row r="26" spans="1:3" x14ac:dyDescent="0.35">
      <c r="A26" t="s">
        <v>63</v>
      </c>
      <c r="B26" s="3">
        <v>46143</v>
      </c>
    </row>
    <row r="27" spans="1:3" x14ac:dyDescent="0.35">
      <c r="A27" t="s">
        <v>7</v>
      </c>
      <c r="B27" s="3">
        <v>46174</v>
      </c>
    </row>
    <row r="28" spans="1:3" x14ac:dyDescent="0.35">
      <c r="A28" t="s">
        <v>23</v>
      </c>
      <c r="B28" s="3">
        <v>46174</v>
      </c>
      <c r="C28" s="2">
        <v>87752</v>
      </c>
    </row>
    <row r="29" spans="1:3" x14ac:dyDescent="0.35">
      <c r="A29" t="s">
        <v>34</v>
      </c>
      <c r="B29" s="3">
        <v>46174</v>
      </c>
    </row>
    <row r="30" spans="1:3" x14ac:dyDescent="0.35">
      <c r="A30" t="s">
        <v>37</v>
      </c>
      <c r="B30" s="3">
        <v>46174</v>
      </c>
      <c r="C30" s="2">
        <v>47003</v>
      </c>
    </row>
    <row r="31" spans="1:3" x14ac:dyDescent="0.35">
      <c r="A31" t="s">
        <v>63</v>
      </c>
      <c r="B31" s="3">
        <v>46174</v>
      </c>
    </row>
    <row r="32" spans="1:3" x14ac:dyDescent="0.35">
      <c r="A32" t="s">
        <v>7</v>
      </c>
      <c r="B32" s="3">
        <v>46204</v>
      </c>
    </row>
    <row r="33" spans="1:3" x14ac:dyDescent="0.35">
      <c r="A33" t="s">
        <v>23</v>
      </c>
      <c r="B33" s="3">
        <v>46204</v>
      </c>
      <c r="C33" s="2">
        <v>85225</v>
      </c>
    </row>
    <row r="34" spans="1:3" x14ac:dyDescent="0.35">
      <c r="A34" t="s">
        <v>34</v>
      </c>
      <c r="B34" s="3">
        <v>46204</v>
      </c>
    </row>
    <row r="35" spans="1:3" x14ac:dyDescent="0.35">
      <c r="A35" t="s">
        <v>37</v>
      </c>
      <c r="B35" s="3">
        <v>46204</v>
      </c>
    </row>
    <row r="36" spans="1:3" x14ac:dyDescent="0.35">
      <c r="A36" t="s">
        <v>63</v>
      </c>
      <c r="B36" s="3">
        <v>46204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35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35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35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35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35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35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35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35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35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35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35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35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35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35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35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35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35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35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35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35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35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35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35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35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35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35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35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35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35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35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35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35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35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35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35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35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35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35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35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35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35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35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35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35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35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35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35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35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35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35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</row>
    <row r="107" spans="1:18" x14ac:dyDescent="0.35">
      <c r="A107" t="s">
        <v>1</v>
      </c>
      <c r="B107" s="3">
        <v>46054</v>
      </c>
      <c r="C107" t="s">
        <v>73</v>
      </c>
    </row>
    <row r="108" spans="1:18" x14ac:dyDescent="0.35">
      <c r="A108" t="s">
        <v>2</v>
      </c>
      <c r="B108" s="3">
        <v>46054</v>
      </c>
      <c r="C108" t="s">
        <v>73</v>
      </c>
      <c r="D108">
        <v>136744</v>
      </c>
    </row>
    <row r="109" spans="1:18" x14ac:dyDescent="0.35">
      <c r="A109" t="s">
        <v>3</v>
      </c>
      <c r="B109" s="3">
        <v>46054</v>
      </c>
      <c r="C109" t="s">
        <v>73</v>
      </c>
    </row>
    <row r="110" spans="1:18" x14ac:dyDescent="0.35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35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35">
      <c r="A112" t="s">
        <v>67</v>
      </c>
      <c r="B112" s="3">
        <v>46054</v>
      </c>
      <c r="C112" t="s">
        <v>74</v>
      </c>
    </row>
    <row r="113" spans="1:4" x14ac:dyDescent="0.35">
      <c r="A113" t="s">
        <v>68</v>
      </c>
      <c r="B113" s="3">
        <v>46054</v>
      </c>
      <c r="C113" t="s">
        <v>74</v>
      </c>
    </row>
    <row r="114" spans="1:4" x14ac:dyDescent="0.35">
      <c r="A114" t="s">
        <v>8</v>
      </c>
      <c r="B114" s="3">
        <v>46054</v>
      </c>
      <c r="C114" t="s">
        <v>73</v>
      </c>
    </row>
    <row r="115" spans="1:4" x14ac:dyDescent="0.35">
      <c r="A115" t="s">
        <v>9</v>
      </c>
      <c r="B115" s="3">
        <v>46054</v>
      </c>
      <c r="C115" t="s">
        <v>73</v>
      </c>
    </row>
    <row r="116" spans="1:4" x14ac:dyDescent="0.35">
      <c r="A116" t="s">
        <v>10</v>
      </c>
      <c r="B116" s="3">
        <v>46054</v>
      </c>
      <c r="C116" t="s">
        <v>74</v>
      </c>
      <c r="D116">
        <v>934440</v>
      </c>
    </row>
    <row r="117" spans="1:4" x14ac:dyDescent="0.35">
      <c r="A117" t="s">
        <v>11</v>
      </c>
      <c r="B117" s="3">
        <v>46054</v>
      </c>
      <c r="C117" t="s">
        <v>73</v>
      </c>
    </row>
    <row r="118" spans="1:4" x14ac:dyDescent="0.35">
      <c r="A118" t="s">
        <v>12</v>
      </c>
      <c r="B118" s="3">
        <v>46054</v>
      </c>
      <c r="C118" t="s">
        <v>73</v>
      </c>
    </row>
    <row r="119" spans="1:4" x14ac:dyDescent="0.35">
      <c r="A119" t="s">
        <v>69</v>
      </c>
      <c r="B119" s="3">
        <v>46054</v>
      </c>
      <c r="C119" t="s">
        <v>74</v>
      </c>
    </row>
    <row r="120" spans="1:4" x14ac:dyDescent="0.35">
      <c r="A120" t="s">
        <v>14</v>
      </c>
      <c r="B120" s="3">
        <v>46054</v>
      </c>
      <c r="C120" t="s">
        <v>74</v>
      </c>
      <c r="D120">
        <v>371468</v>
      </c>
    </row>
    <row r="121" spans="1:4" x14ac:dyDescent="0.35">
      <c r="A121" t="s">
        <v>15</v>
      </c>
      <c r="B121" s="3">
        <v>46054</v>
      </c>
      <c r="C121" t="s">
        <v>73</v>
      </c>
    </row>
    <row r="122" spans="1:4" x14ac:dyDescent="0.35">
      <c r="A122" t="s">
        <v>16</v>
      </c>
      <c r="B122" s="3">
        <v>46054</v>
      </c>
      <c r="C122" t="s">
        <v>73</v>
      </c>
    </row>
    <row r="123" spans="1:4" x14ac:dyDescent="0.35">
      <c r="A123" t="s">
        <v>17</v>
      </c>
      <c r="B123" s="3">
        <v>46054</v>
      </c>
      <c r="C123" t="s">
        <v>74</v>
      </c>
    </row>
    <row r="124" spans="1:4" x14ac:dyDescent="0.35">
      <c r="A124" t="s">
        <v>18</v>
      </c>
      <c r="B124" s="3">
        <v>46054</v>
      </c>
      <c r="C124" t="s">
        <v>73</v>
      </c>
    </row>
    <row r="125" spans="1:4" x14ac:dyDescent="0.35">
      <c r="A125" t="s">
        <v>70</v>
      </c>
      <c r="B125" s="3">
        <v>46054</v>
      </c>
      <c r="C125" t="s">
        <v>74</v>
      </c>
      <c r="D125">
        <v>352123</v>
      </c>
    </row>
    <row r="126" spans="1:4" x14ac:dyDescent="0.35">
      <c r="A126" t="s">
        <v>20</v>
      </c>
      <c r="B126" s="3">
        <v>46054</v>
      </c>
      <c r="C126" t="s">
        <v>74</v>
      </c>
      <c r="D126">
        <v>243929</v>
      </c>
    </row>
    <row r="127" spans="1:4" x14ac:dyDescent="0.35">
      <c r="A127" t="s">
        <v>21</v>
      </c>
      <c r="B127" s="3">
        <v>46054</v>
      </c>
      <c r="C127" t="s">
        <v>74</v>
      </c>
    </row>
    <row r="128" spans="1:4" x14ac:dyDescent="0.35">
      <c r="A128" t="s">
        <v>22</v>
      </c>
      <c r="B128" s="3">
        <v>46054</v>
      </c>
      <c r="C128" t="s">
        <v>73</v>
      </c>
    </row>
    <row r="129" spans="1:4" x14ac:dyDescent="0.35">
      <c r="A129" t="s">
        <v>23</v>
      </c>
      <c r="B129" s="3">
        <v>46054</v>
      </c>
      <c r="C129" t="s">
        <v>74</v>
      </c>
    </row>
    <row r="130" spans="1:4" x14ac:dyDescent="0.35">
      <c r="A130" t="s">
        <v>24</v>
      </c>
      <c r="B130" s="3">
        <v>46054</v>
      </c>
      <c r="C130" t="s">
        <v>73</v>
      </c>
    </row>
    <row r="131" spans="1:4" x14ac:dyDescent="0.35">
      <c r="A131" t="s">
        <v>25</v>
      </c>
      <c r="B131" s="3">
        <v>46054</v>
      </c>
      <c r="C131" t="s">
        <v>73</v>
      </c>
    </row>
    <row r="132" spans="1:4" x14ac:dyDescent="0.35">
      <c r="A132" t="s">
        <v>26</v>
      </c>
      <c r="B132" s="3">
        <v>46054</v>
      </c>
      <c r="C132" t="s">
        <v>73</v>
      </c>
    </row>
    <row r="133" spans="1:4" x14ac:dyDescent="0.35">
      <c r="A133" t="s">
        <v>27</v>
      </c>
      <c r="B133" s="3">
        <v>46054</v>
      </c>
      <c r="C133" t="s">
        <v>73</v>
      </c>
    </row>
    <row r="134" spans="1:4" x14ac:dyDescent="0.35">
      <c r="A134" t="s">
        <v>28</v>
      </c>
      <c r="B134" s="3">
        <v>46054</v>
      </c>
      <c r="C134" t="s">
        <v>73</v>
      </c>
    </row>
    <row r="135" spans="1:4" x14ac:dyDescent="0.35">
      <c r="A135" t="s">
        <v>29</v>
      </c>
      <c r="B135" s="3">
        <v>46054</v>
      </c>
      <c r="C135" t="s">
        <v>73</v>
      </c>
    </row>
    <row r="136" spans="1:4" x14ac:dyDescent="0.35">
      <c r="A136" t="s">
        <v>30</v>
      </c>
      <c r="B136" s="3">
        <v>46054</v>
      </c>
      <c r="C136" t="s">
        <v>73</v>
      </c>
    </row>
    <row r="137" spans="1:4" x14ac:dyDescent="0.35">
      <c r="A137" t="s">
        <v>31</v>
      </c>
      <c r="B137" s="3">
        <v>46054</v>
      </c>
      <c r="C137" t="s">
        <v>74</v>
      </c>
      <c r="D137">
        <v>442850</v>
      </c>
    </row>
    <row r="138" spans="1:4" x14ac:dyDescent="0.35">
      <c r="A138" t="s">
        <v>32</v>
      </c>
      <c r="B138" s="3">
        <v>46054</v>
      </c>
      <c r="C138" t="s">
        <v>74</v>
      </c>
      <c r="D138">
        <v>79756</v>
      </c>
    </row>
    <row r="139" spans="1:4" x14ac:dyDescent="0.35">
      <c r="A139" t="s">
        <v>33</v>
      </c>
      <c r="B139" s="3">
        <v>46054</v>
      </c>
      <c r="C139" t="s">
        <v>74</v>
      </c>
      <c r="D139">
        <v>95713</v>
      </c>
    </row>
    <row r="140" spans="1:4" x14ac:dyDescent="0.35">
      <c r="A140" t="s">
        <v>34</v>
      </c>
      <c r="B140" s="3">
        <v>46054</v>
      </c>
      <c r="C140" t="s">
        <v>74</v>
      </c>
      <c r="D140">
        <v>208813</v>
      </c>
    </row>
    <row r="141" spans="1:4" x14ac:dyDescent="0.35">
      <c r="A141" t="s">
        <v>35</v>
      </c>
      <c r="B141" s="3">
        <v>46054</v>
      </c>
      <c r="C141" t="s">
        <v>73</v>
      </c>
    </row>
    <row r="142" spans="1:4" x14ac:dyDescent="0.35">
      <c r="A142" t="s">
        <v>36</v>
      </c>
      <c r="B142" s="3">
        <v>46054</v>
      </c>
      <c r="C142" t="s">
        <v>73</v>
      </c>
    </row>
    <row r="143" spans="1:4" x14ac:dyDescent="0.35">
      <c r="A143" t="s">
        <v>37</v>
      </c>
      <c r="B143" s="3">
        <v>46054</v>
      </c>
      <c r="C143" t="s">
        <v>73</v>
      </c>
    </row>
    <row r="144" spans="1:4" x14ac:dyDescent="0.35">
      <c r="A144" t="s">
        <v>38</v>
      </c>
      <c r="B144" s="3">
        <v>46054</v>
      </c>
      <c r="C144" t="s">
        <v>74</v>
      </c>
      <c r="D144">
        <v>478933</v>
      </c>
    </row>
    <row r="145" spans="1:4" x14ac:dyDescent="0.35">
      <c r="A145" t="s">
        <v>71</v>
      </c>
      <c r="B145" s="3">
        <v>46054</v>
      </c>
      <c r="C145" t="s">
        <v>74</v>
      </c>
    </row>
    <row r="146" spans="1:4" x14ac:dyDescent="0.35">
      <c r="A146" t="s">
        <v>40</v>
      </c>
      <c r="B146" s="3">
        <v>46054</v>
      </c>
      <c r="C146" t="s">
        <v>73</v>
      </c>
    </row>
    <row r="147" spans="1:4" x14ac:dyDescent="0.35">
      <c r="A147" t="s">
        <v>41</v>
      </c>
      <c r="B147" s="3">
        <v>46054</v>
      </c>
      <c r="C147" t="s">
        <v>73</v>
      </c>
    </row>
    <row r="148" spans="1:4" x14ac:dyDescent="0.35">
      <c r="A148" t="s">
        <v>42</v>
      </c>
      <c r="B148" s="3">
        <v>46054</v>
      </c>
      <c r="C148" t="s">
        <v>73</v>
      </c>
    </row>
    <row r="149" spans="1:4" x14ac:dyDescent="0.35">
      <c r="A149" t="s">
        <v>43</v>
      </c>
      <c r="B149" s="3">
        <v>46054</v>
      </c>
      <c r="C149" t="s">
        <v>73</v>
      </c>
    </row>
    <row r="150" spans="1:4" x14ac:dyDescent="0.35">
      <c r="A150" t="s">
        <v>44</v>
      </c>
      <c r="B150" s="3">
        <v>46054</v>
      </c>
      <c r="C150" t="s">
        <v>73</v>
      </c>
    </row>
    <row r="151" spans="1:4" x14ac:dyDescent="0.35">
      <c r="A151" t="s">
        <v>45</v>
      </c>
      <c r="B151" s="3">
        <v>46054</v>
      </c>
      <c r="C151" t="s">
        <v>74</v>
      </c>
    </row>
    <row r="152" spans="1:4" x14ac:dyDescent="0.35">
      <c r="A152" t="s">
        <v>46</v>
      </c>
      <c r="B152" s="3">
        <v>46054</v>
      </c>
      <c r="C152" t="s">
        <v>74</v>
      </c>
      <c r="D152">
        <v>28574</v>
      </c>
    </row>
    <row r="153" spans="1:4" x14ac:dyDescent="0.35">
      <c r="A153" t="s">
        <v>72</v>
      </c>
      <c r="B153" s="3">
        <v>46054</v>
      </c>
      <c r="C153" t="s">
        <v>74</v>
      </c>
      <c r="D153">
        <v>249977</v>
      </c>
    </row>
    <row r="154" spans="1:4" x14ac:dyDescent="0.35">
      <c r="A154" t="s">
        <v>48</v>
      </c>
      <c r="B154" s="3">
        <v>46054</v>
      </c>
      <c r="C154" t="s">
        <v>73</v>
      </c>
    </row>
    <row r="155" spans="1:4" x14ac:dyDescent="0.35">
      <c r="A155" t="s">
        <v>49</v>
      </c>
      <c r="B155" s="3">
        <v>46054</v>
      </c>
      <c r="C155" t="s">
        <v>73</v>
      </c>
    </row>
    <row r="156" spans="1:4" x14ac:dyDescent="0.35">
      <c r="A156" t="s">
        <v>50</v>
      </c>
      <c r="B156" s="3">
        <v>46054</v>
      </c>
      <c r="C156" t="s">
        <v>73</v>
      </c>
    </row>
    <row r="157" spans="1:4" x14ac:dyDescent="0.35">
      <c r="A157" t="s">
        <v>63</v>
      </c>
      <c r="B157" s="3">
        <v>46054</v>
      </c>
      <c r="C157" t="s">
        <v>82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313"/>
  <sheetViews>
    <sheetView topLeftCell="A25" workbookViewId="0">
      <selection activeCell="D158" sqref="D158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35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35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35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35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35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35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35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35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35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35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35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35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35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35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35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35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35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35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35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35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35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35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35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35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35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35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35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35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35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35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35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35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35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35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35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35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35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35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35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35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35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35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35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35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35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35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35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35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35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35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  <c r="D106">
        <v>23546</v>
      </c>
    </row>
    <row r="107" spans="1:18" x14ac:dyDescent="0.35">
      <c r="A107" t="s">
        <v>1</v>
      </c>
      <c r="B107" s="3">
        <v>46054</v>
      </c>
      <c r="C107" t="s">
        <v>73</v>
      </c>
      <c r="D107">
        <v>324504</v>
      </c>
    </row>
    <row r="108" spans="1:18" x14ac:dyDescent="0.35">
      <c r="A108" t="s">
        <v>2</v>
      </c>
      <c r="B108" s="3">
        <v>46054</v>
      </c>
      <c r="C108" t="s">
        <v>73</v>
      </c>
      <c r="D108">
        <v>129699</v>
      </c>
    </row>
    <row r="109" spans="1:18" x14ac:dyDescent="0.35">
      <c r="A109" t="s">
        <v>3</v>
      </c>
      <c r="B109" s="3">
        <v>46054</v>
      </c>
      <c r="C109" t="s">
        <v>73</v>
      </c>
      <c r="D109">
        <v>255927</v>
      </c>
    </row>
    <row r="110" spans="1:18" x14ac:dyDescent="0.35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35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35">
      <c r="A112" t="s">
        <v>67</v>
      </c>
      <c r="B112" s="3">
        <v>46054</v>
      </c>
      <c r="C112" t="s">
        <v>74</v>
      </c>
      <c r="D112">
        <v>148596</v>
      </c>
    </row>
    <row r="113" spans="1:4" x14ac:dyDescent="0.35">
      <c r="A113" t="s">
        <v>68</v>
      </c>
      <c r="B113" s="3">
        <v>46054</v>
      </c>
      <c r="C113" t="s">
        <v>74</v>
      </c>
      <c r="D113">
        <v>12973</v>
      </c>
    </row>
    <row r="114" spans="1:4" x14ac:dyDescent="0.35">
      <c r="A114" t="s">
        <v>8</v>
      </c>
      <c r="B114" s="3">
        <v>46054</v>
      </c>
      <c r="C114" t="s">
        <v>73</v>
      </c>
      <c r="D114">
        <v>36282</v>
      </c>
    </row>
    <row r="115" spans="1:4" x14ac:dyDescent="0.35">
      <c r="A115" t="s">
        <v>9</v>
      </c>
      <c r="B115" s="3">
        <v>46054</v>
      </c>
      <c r="C115" t="s">
        <v>73</v>
      </c>
      <c r="D115">
        <v>3849587</v>
      </c>
    </row>
    <row r="116" spans="1:4" x14ac:dyDescent="0.35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35">
      <c r="A117" t="s">
        <v>11</v>
      </c>
      <c r="B117" s="3">
        <v>46054</v>
      </c>
      <c r="C117" t="s">
        <v>73</v>
      </c>
      <c r="D117">
        <v>20974</v>
      </c>
    </row>
    <row r="118" spans="1:4" x14ac:dyDescent="0.35">
      <c r="A118" t="s">
        <v>12</v>
      </c>
      <c r="B118" s="3">
        <v>46054</v>
      </c>
      <c r="C118" t="s">
        <v>73</v>
      </c>
      <c r="D118">
        <v>103253</v>
      </c>
    </row>
    <row r="119" spans="1:4" x14ac:dyDescent="0.35">
      <c r="A119" t="s">
        <v>69</v>
      </c>
      <c r="B119" s="3">
        <v>46054</v>
      </c>
      <c r="C119" t="s">
        <v>74</v>
      </c>
      <c r="D119">
        <v>113957</v>
      </c>
    </row>
    <row r="120" spans="1:4" x14ac:dyDescent="0.35">
      <c r="A120" t="s">
        <v>14</v>
      </c>
      <c r="B120" s="3">
        <v>46054</v>
      </c>
      <c r="C120" t="s">
        <v>74</v>
      </c>
      <c r="D120">
        <v>421852</v>
      </c>
    </row>
    <row r="121" spans="1:4" x14ac:dyDescent="0.35">
      <c r="A121" t="s">
        <v>15</v>
      </c>
      <c r="B121" s="3">
        <v>46054</v>
      </c>
      <c r="C121" t="s">
        <v>73</v>
      </c>
      <c r="D121">
        <v>203119</v>
      </c>
    </row>
    <row r="122" spans="1:4" x14ac:dyDescent="0.35">
      <c r="A122" t="s">
        <v>16</v>
      </c>
      <c r="B122" s="3">
        <v>46054</v>
      </c>
      <c r="C122" t="s">
        <v>73</v>
      </c>
      <c r="D122">
        <v>143880</v>
      </c>
    </row>
    <row r="123" spans="1:4" x14ac:dyDescent="0.35">
      <c r="A123" t="s">
        <v>17</v>
      </c>
      <c r="B123" s="3">
        <v>46054</v>
      </c>
      <c r="C123" t="s">
        <v>74</v>
      </c>
      <c r="D123">
        <v>77526</v>
      </c>
    </row>
    <row r="124" spans="1:4" x14ac:dyDescent="0.35">
      <c r="A124" t="s">
        <v>18</v>
      </c>
      <c r="B124" s="3">
        <v>46054</v>
      </c>
      <c r="C124" t="s">
        <v>73</v>
      </c>
      <c r="D124">
        <v>195759</v>
      </c>
    </row>
    <row r="125" spans="1:4" x14ac:dyDescent="0.35">
      <c r="A125" t="s">
        <v>70</v>
      </c>
      <c r="B125" s="3">
        <v>46054</v>
      </c>
      <c r="C125" t="s">
        <v>74</v>
      </c>
      <c r="D125">
        <v>338197</v>
      </c>
    </row>
    <row r="126" spans="1:4" x14ac:dyDescent="0.35">
      <c r="A126" t="s">
        <v>20</v>
      </c>
      <c r="B126" s="3">
        <v>46054</v>
      </c>
      <c r="C126" t="s">
        <v>74</v>
      </c>
      <c r="D126">
        <v>223483</v>
      </c>
    </row>
    <row r="127" spans="1:4" x14ac:dyDescent="0.35">
      <c r="A127" t="s">
        <v>21</v>
      </c>
      <c r="B127" s="3">
        <v>46054</v>
      </c>
      <c r="C127" t="s">
        <v>74</v>
      </c>
      <c r="D127">
        <v>54800</v>
      </c>
    </row>
    <row r="128" spans="1:4" x14ac:dyDescent="0.35">
      <c r="A128" t="s">
        <v>22</v>
      </c>
      <c r="B128" s="3">
        <v>46054</v>
      </c>
      <c r="C128" t="s">
        <v>73</v>
      </c>
      <c r="D128">
        <v>357350</v>
      </c>
    </row>
    <row r="129" spans="1:4" x14ac:dyDescent="0.35">
      <c r="A129" t="s">
        <v>23</v>
      </c>
      <c r="B129" s="3">
        <v>46054</v>
      </c>
      <c r="C129" t="s">
        <v>74</v>
      </c>
      <c r="D129">
        <v>104788</v>
      </c>
    </row>
    <row r="130" spans="1:4" x14ac:dyDescent="0.35">
      <c r="A130" t="s">
        <v>24</v>
      </c>
      <c r="B130" s="3">
        <v>46054</v>
      </c>
      <c r="C130" t="s">
        <v>73</v>
      </c>
      <c r="D130">
        <v>260999</v>
      </c>
    </row>
    <row r="131" spans="1:4" x14ac:dyDescent="0.35">
      <c r="A131" t="s">
        <v>25</v>
      </c>
      <c r="B131" s="3">
        <v>46054</v>
      </c>
      <c r="C131" t="s">
        <v>73</v>
      </c>
      <c r="D131">
        <v>191631</v>
      </c>
    </row>
    <row r="132" spans="1:4" x14ac:dyDescent="0.35">
      <c r="A132" t="s">
        <v>26</v>
      </c>
      <c r="B132" s="3">
        <v>46054</v>
      </c>
      <c r="C132" t="s">
        <v>73</v>
      </c>
      <c r="D132">
        <v>63975</v>
      </c>
    </row>
    <row r="133" spans="1:4" x14ac:dyDescent="0.35">
      <c r="A133" t="s">
        <v>27</v>
      </c>
      <c r="B133" s="3">
        <v>46054</v>
      </c>
      <c r="C133" t="s">
        <v>73</v>
      </c>
      <c r="D133">
        <v>609544</v>
      </c>
    </row>
    <row r="134" spans="1:4" x14ac:dyDescent="0.35">
      <c r="A134" t="s">
        <v>28</v>
      </c>
      <c r="B134" s="3">
        <v>46054</v>
      </c>
      <c r="C134" t="s">
        <v>73</v>
      </c>
      <c r="D134">
        <v>37472</v>
      </c>
    </row>
    <row r="135" spans="1:4" x14ac:dyDescent="0.35">
      <c r="A135" t="s">
        <v>29</v>
      </c>
      <c r="B135" s="3">
        <v>46054</v>
      </c>
      <c r="C135" t="s">
        <v>73</v>
      </c>
      <c r="D135">
        <v>100622</v>
      </c>
    </row>
    <row r="136" spans="1:4" x14ac:dyDescent="0.35">
      <c r="A136" t="s">
        <v>30</v>
      </c>
      <c r="B136" s="3">
        <v>46054</v>
      </c>
      <c r="C136" t="s">
        <v>73</v>
      </c>
      <c r="D136">
        <v>57716</v>
      </c>
    </row>
    <row r="137" spans="1:4" x14ac:dyDescent="0.35">
      <c r="A137" t="s">
        <v>31</v>
      </c>
      <c r="B137" s="3">
        <v>46054</v>
      </c>
      <c r="C137" t="s">
        <v>74</v>
      </c>
      <c r="D137">
        <v>471801</v>
      </c>
    </row>
    <row r="138" spans="1:4" x14ac:dyDescent="0.35">
      <c r="A138" t="s">
        <v>32</v>
      </c>
      <c r="B138" s="3">
        <v>46054</v>
      </c>
      <c r="C138" t="s">
        <v>74</v>
      </c>
      <c r="D138">
        <v>80047</v>
      </c>
    </row>
    <row r="139" spans="1:4" x14ac:dyDescent="0.35">
      <c r="A139" t="s">
        <v>33</v>
      </c>
      <c r="B139" s="3">
        <v>46054</v>
      </c>
      <c r="C139" t="s">
        <v>74</v>
      </c>
      <c r="D139">
        <v>99663</v>
      </c>
    </row>
    <row r="140" spans="1:4" x14ac:dyDescent="0.35">
      <c r="A140" t="s">
        <v>34</v>
      </c>
      <c r="B140" s="3">
        <v>46054</v>
      </c>
      <c r="C140" t="s">
        <v>74</v>
      </c>
      <c r="D140">
        <v>186497</v>
      </c>
    </row>
    <row r="141" spans="1:4" x14ac:dyDescent="0.35">
      <c r="A141" t="s">
        <v>35</v>
      </c>
      <c r="B141" s="3">
        <v>46054</v>
      </c>
      <c r="C141" t="s">
        <v>73</v>
      </c>
      <c r="D141">
        <v>336058</v>
      </c>
    </row>
    <row r="142" spans="1:4" x14ac:dyDescent="0.35">
      <c r="A142" t="s">
        <v>36</v>
      </c>
      <c r="B142" s="3">
        <v>46054</v>
      </c>
      <c r="C142" t="s">
        <v>73</v>
      </c>
      <c r="D142">
        <v>179600</v>
      </c>
    </row>
    <row r="143" spans="1:4" x14ac:dyDescent="0.35">
      <c r="A143" t="s">
        <v>37</v>
      </c>
      <c r="B143" s="3">
        <v>46054</v>
      </c>
      <c r="C143" t="s">
        <v>73</v>
      </c>
      <c r="D143">
        <v>105911</v>
      </c>
    </row>
    <row r="144" spans="1:4" x14ac:dyDescent="0.35">
      <c r="A144" t="s">
        <v>38</v>
      </c>
      <c r="B144" s="3">
        <v>46054</v>
      </c>
      <c r="C144" t="s">
        <v>74</v>
      </c>
      <c r="D144">
        <v>472627</v>
      </c>
    </row>
    <row r="145" spans="1:4" x14ac:dyDescent="0.35">
      <c r="A145" t="s">
        <v>71</v>
      </c>
      <c r="B145" s="3">
        <v>46054</v>
      </c>
      <c r="C145" t="s">
        <v>74</v>
      </c>
      <c r="D145">
        <v>39991</v>
      </c>
    </row>
    <row r="146" spans="1:4" x14ac:dyDescent="0.35">
      <c r="A146" t="s">
        <v>40</v>
      </c>
      <c r="B146" s="3">
        <v>46054</v>
      </c>
      <c r="C146" t="s">
        <v>73</v>
      </c>
      <c r="D146">
        <v>387145</v>
      </c>
    </row>
    <row r="147" spans="1:4" x14ac:dyDescent="0.35">
      <c r="A147" t="s">
        <v>41</v>
      </c>
      <c r="B147" s="3">
        <v>46054</v>
      </c>
      <c r="C147" t="s">
        <v>73</v>
      </c>
      <c r="D147">
        <v>45888</v>
      </c>
    </row>
    <row r="148" spans="1:4" x14ac:dyDescent="0.35">
      <c r="A148" t="s">
        <v>42</v>
      </c>
      <c r="B148" s="3">
        <v>46054</v>
      </c>
      <c r="C148" t="s">
        <v>73</v>
      </c>
      <c r="D148">
        <v>441515</v>
      </c>
    </row>
    <row r="149" spans="1:4" x14ac:dyDescent="0.35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35">
      <c r="A150" t="s">
        <v>44</v>
      </c>
      <c r="B150" s="3">
        <v>46054</v>
      </c>
      <c r="C150" t="s">
        <v>73</v>
      </c>
      <c r="D150">
        <v>337266</v>
      </c>
    </row>
    <row r="151" spans="1:4" x14ac:dyDescent="0.35">
      <c r="A151" t="s">
        <v>45</v>
      </c>
      <c r="B151" s="3">
        <v>46054</v>
      </c>
      <c r="C151" t="s">
        <v>74</v>
      </c>
      <c r="D151">
        <v>338768</v>
      </c>
    </row>
    <row r="152" spans="1:4" x14ac:dyDescent="0.35">
      <c r="A152" t="s">
        <v>46</v>
      </c>
      <c r="B152" s="3">
        <v>46054</v>
      </c>
      <c r="C152" t="s">
        <v>74</v>
      </c>
      <c r="D152">
        <v>28968</v>
      </c>
    </row>
    <row r="153" spans="1:4" x14ac:dyDescent="0.35">
      <c r="A153" t="s">
        <v>72</v>
      </c>
      <c r="B153" s="3">
        <v>46054</v>
      </c>
      <c r="C153" t="s">
        <v>74</v>
      </c>
      <c r="D153">
        <v>269993</v>
      </c>
    </row>
    <row r="154" spans="1:4" x14ac:dyDescent="0.35">
      <c r="A154" t="s">
        <v>48</v>
      </c>
      <c r="B154" s="3">
        <v>46054</v>
      </c>
      <c r="C154" t="s">
        <v>73</v>
      </c>
      <c r="D154">
        <v>245753</v>
      </c>
    </row>
    <row r="155" spans="1:4" x14ac:dyDescent="0.35">
      <c r="A155" t="s">
        <v>49</v>
      </c>
      <c r="B155" s="3">
        <v>46054</v>
      </c>
      <c r="C155" t="s">
        <v>73</v>
      </c>
      <c r="D155">
        <v>49508</v>
      </c>
    </row>
    <row r="156" spans="1:4" x14ac:dyDescent="0.35">
      <c r="A156" t="s">
        <v>50</v>
      </c>
      <c r="B156" s="3">
        <v>46054</v>
      </c>
      <c r="C156" t="s">
        <v>73</v>
      </c>
      <c r="D156">
        <v>34514</v>
      </c>
    </row>
    <row r="157" spans="1:4" x14ac:dyDescent="0.35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topLeftCell="A187" workbookViewId="0">
      <selection activeCell="D159" sqref="D159:D209"/>
    </sheetView>
  </sheetViews>
  <sheetFormatPr defaultRowHeight="14.5" x14ac:dyDescent="0.35"/>
  <cols>
    <col min="1" max="1" width="12.453125" bestFit="1" customWidth="1"/>
    <col min="4" max="4" width="21" bestFit="1" customWidth="1"/>
  </cols>
  <sheetData>
    <row r="1" spans="1:4" x14ac:dyDescent="0.35">
      <c r="A1" t="s">
        <v>51</v>
      </c>
      <c r="B1" t="s">
        <v>95</v>
      </c>
      <c r="C1" t="s">
        <v>96</v>
      </c>
      <c r="D1" t="s">
        <v>97</v>
      </c>
    </row>
    <row r="2" spans="1:4" x14ac:dyDescent="0.35">
      <c r="A2" t="s">
        <v>63</v>
      </c>
      <c r="B2">
        <v>2025</v>
      </c>
      <c r="C2" t="s">
        <v>99</v>
      </c>
      <c r="D2" s="12">
        <v>22216133</v>
      </c>
    </row>
    <row r="3" spans="1:4" x14ac:dyDescent="0.35">
      <c r="A3" t="s">
        <v>98</v>
      </c>
      <c r="B3">
        <v>2025</v>
      </c>
      <c r="C3" t="s">
        <v>99</v>
      </c>
      <c r="D3">
        <v>26264</v>
      </c>
    </row>
    <row r="4" spans="1:4" x14ac:dyDescent="0.35">
      <c r="A4" t="s">
        <v>100</v>
      </c>
      <c r="B4">
        <v>2025</v>
      </c>
      <c r="C4" t="s">
        <v>99</v>
      </c>
      <c r="D4">
        <v>433089</v>
      </c>
    </row>
    <row r="5" spans="1:4" x14ac:dyDescent="0.35">
      <c r="A5" t="s">
        <v>101</v>
      </c>
      <c r="B5">
        <v>2025</v>
      </c>
      <c r="C5" t="s">
        <v>99</v>
      </c>
      <c r="D5">
        <v>145558</v>
      </c>
    </row>
    <row r="6" spans="1:4" x14ac:dyDescent="0.35">
      <c r="A6" t="s">
        <v>102</v>
      </c>
      <c r="B6">
        <v>2025</v>
      </c>
      <c r="C6" t="s">
        <v>99</v>
      </c>
      <c r="D6">
        <v>382577</v>
      </c>
    </row>
    <row r="7" spans="1:4" x14ac:dyDescent="0.35">
      <c r="A7" t="s">
        <v>103</v>
      </c>
      <c r="B7">
        <v>2025</v>
      </c>
      <c r="C7" t="s">
        <v>99</v>
      </c>
      <c r="D7">
        <v>1896608</v>
      </c>
    </row>
    <row r="8" spans="1:4" x14ac:dyDescent="0.35">
      <c r="A8" t="s">
        <v>104</v>
      </c>
      <c r="B8">
        <v>2025</v>
      </c>
      <c r="C8" t="s">
        <v>99</v>
      </c>
      <c r="D8">
        <v>242689</v>
      </c>
    </row>
    <row r="9" spans="1:4" x14ac:dyDescent="0.35">
      <c r="A9" t="s">
        <v>105</v>
      </c>
      <c r="B9">
        <v>2025</v>
      </c>
      <c r="C9" t="s">
        <v>99</v>
      </c>
      <c r="D9">
        <v>140769</v>
      </c>
    </row>
    <row r="10" spans="1:4" x14ac:dyDescent="0.35">
      <c r="A10" t="s">
        <v>106</v>
      </c>
      <c r="B10">
        <v>2025</v>
      </c>
      <c r="C10" t="s">
        <v>99</v>
      </c>
      <c r="D10">
        <v>13020</v>
      </c>
    </row>
    <row r="11" spans="1:4" x14ac:dyDescent="0.35">
      <c r="A11" t="s">
        <v>107</v>
      </c>
      <c r="B11">
        <v>2025</v>
      </c>
      <c r="C11" t="s">
        <v>99</v>
      </c>
      <c r="D11">
        <v>47443</v>
      </c>
    </row>
    <row r="12" spans="1:4" x14ac:dyDescent="0.35">
      <c r="A12" t="s">
        <v>108</v>
      </c>
      <c r="B12">
        <v>2025</v>
      </c>
      <c r="C12" t="s">
        <v>99</v>
      </c>
      <c r="D12">
        <v>4347532</v>
      </c>
    </row>
    <row r="13" spans="1:4" x14ac:dyDescent="0.35">
      <c r="A13" t="s">
        <v>109</v>
      </c>
      <c r="B13">
        <v>2025</v>
      </c>
      <c r="C13" t="s">
        <v>99</v>
      </c>
      <c r="D13">
        <v>1357793</v>
      </c>
    </row>
    <row r="14" spans="1:4" x14ac:dyDescent="0.35">
      <c r="A14" t="s">
        <v>110</v>
      </c>
      <c r="B14">
        <v>2025</v>
      </c>
      <c r="C14" t="s">
        <v>99</v>
      </c>
      <c r="D14">
        <v>22375</v>
      </c>
    </row>
    <row r="15" spans="1:4" x14ac:dyDescent="0.35">
      <c r="A15" t="s">
        <v>111</v>
      </c>
      <c r="B15">
        <v>2025</v>
      </c>
      <c r="C15" t="s">
        <v>99</v>
      </c>
      <c r="D15">
        <v>126209</v>
      </c>
    </row>
    <row r="16" spans="1:4" x14ac:dyDescent="0.35">
      <c r="A16" t="s">
        <v>112</v>
      </c>
      <c r="B16">
        <v>2025</v>
      </c>
      <c r="C16" t="s">
        <v>99</v>
      </c>
      <c r="D16">
        <v>116563</v>
      </c>
    </row>
    <row r="17" spans="1:4" x14ac:dyDescent="0.35">
      <c r="A17" t="s">
        <v>113</v>
      </c>
      <c r="B17">
        <v>2025</v>
      </c>
      <c r="C17" t="s">
        <v>99</v>
      </c>
      <c r="D17">
        <v>409939</v>
      </c>
    </row>
    <row r="18" spans="1:4" x14ac:dyDescent="0.35">
      <c r="A18" t="s">
        <v>114</v>
      </c>
      <c r="B18">
        <v>2025</v>
      </c>
      <c r="C18" t="s">
        <v>99</v>
      </c>
      <c r="D18">
        <v>302169</v>
      </c>
    </row>
    <row r="19" spans="1:4" x14ac:dyDescent="0.35">
      <c r="A19" t="s">
        <v>115</v>
      </c>
      <c r="B19">
        <v>2025</v>
      </c>
      <c r="C19" t="s">
        <v>99</v>
      </c>
      <c r="D19">
        <v>182475</v>
      </c>
    </row>
    <row r="20" spans="1:4" x14ac:dyDescent="0.35">
      <c r="A20" t="s">
        <v>116</v>
      </c>
      <c r="B20">
        <v>2025</v>
      </c>
      <c r="C20" t="s">
        <v>99</v>
      </c>
      <c r="D20">
        <v>82826</v>
      </c>
    </row>
    <row r="21" spans="1:4" x14ac:dyDescent="0.35">
      <c r="A21" t="s">
        <v>117</v>
      </c>
      <c r="B21">
        <v>2025</v>
      </c>
      <c r="C21" t="s">
        <v>99</v>
      </c>
      <c r="D21">
        <v>265714</v>
      </c>
    </row>
    <row r="22" spans="1:4" x14ac:dyDescent="0.35">
      <c r="A22" t="s">
        <v>118</v>
      </c>
      <c r="B22">
        <v>2025</v>
      </c>
      <c r="C22" t="s">
        <v>99</v>
      </c>
      <c r="D22">
        <v>337177</v>
      </c>
    </row>
    <row r="23" spans="1:4" x14ac:dyDescent="0.35">
      <c r="A23" t="s">
        <v>119</v>
      </c>
      <c r="B23">
        <v>2025</v>
      </c>
      <c r="C23" t="s">
        <v>99</v>
      </c>
      <c r="D23">
        <v>227414</v>
      </c>
    </row>
    <row r="24" spans="1:4" x14ac:dyDescent="0.35">
      <c r="A24" t="s">
        <v>120</v>
      </c>
      <c r="B24">
        <v>2025</v>
      </c>
      <c r="C24" t="s">
        <v>99</v>
      </c>
      <c r="D24">
        <v>60197</v>
      </c>
    </row>
    <row r="25" spans="1:4" x14ac:dyDescent="0.35">
      <c r="A25" t="s">
        <v>121</v>
      </c>
      <c r="B25">
        <v>2025</v>
      </c>
      <c r="C25" t="s">
        <v>99</v>
      </c>
      <c r="D25">
        <v>485176</v>
      </c>
    </row>
    <row r="26" spans="1:4" x14ac:dyDescent="0.35">
      <c r="A26" t="s">
        <v>122</v>
      </c>
      <c r="B26">
        <v>2025</v>
      </c>
      <c r="C26" t="s">
        <v>99</v>
      </c>
      <c r="D26">
        <v>135859</v>
      </c>
    </row>
    <row r="27" spans="1:4" x14ac:dyDescent="0.35">
      <c r="A27" t="s">
        <v>123</v>
      </c>
      <c r="B27">
        <v>2025</v>
      </c>
      <c r="C27" t="s">
        <v>99</v>
      </c>
      <c r="D27">
        <v>383570</v>
      </c>
    </row>
    <row r="28" spans="1:4" x14ac:dyDescent="0.35">
      <c r="A28" t="s">
        <v>124</v>
      </c>
      <c r="B28">
        <v>2025</v>
      </c>
      <c r="C28" t="s">
        <v>99</v>
      </c>
      <c r="D28">
        <v>307387</v>
      </c>
    </row>
    <row r="29" spans="1:4" x14ac:dyDescent="0.35">
      <c r="A29" t="s">
        <v>125</v>
      </c>
      <c r="B29">
        <v>2025</v>
      </c>
      <c r="C29" t="s">
        <v>99</v>
      </c>
      <c r="D29">
        <v>71417</v>
      </c>
    </row>
    <row r="30" spans="1:4" x14ac:dyDescent="0.35">
      <c r="A30" t="s">
        <v>126</v>
      </c>
      <c r="B30">
        <v>2025</v>
      </c>
      <c r="C30" t="s">
        <v>99</v>
      </c>
      <c r="D30">
        <v>890940</v>
      </c>
    </row>
    <row r="31" spans="1:4" x14ac:dyDescent="0.35">
      <c r="A31" t="s">
        <v>127</v>
      </c>
      <c r="B31">
        <v>2025</v>
      </c>
      <c r="C31" t="s">
        <v>99</v>
      </c>
      <c r="D31">
        <v>39988</v>
      </c>
    </row>
    <row r="32" spans="1:4" x14ac:dyDescent="0.35">
      <c r="A32" t="s">
        <v>128</v>
      </c>
      <c r="B32">
        <v>2025</v>
      </c>
      <c r="C32" t="s">
        <v>99</v>
      </c>
      <c r="D32">
        <v>126839</v>
      </c>
    </row>
    <row r="33" spans="1:4" x14ac:dyDescent="0.35">
      <c r="A33" t="s">
        <v>129</v>
      </c>
      <c r="B33">
        <v>2025</v>
      </c>
      <c r="C33" t="s">
        <v>99</v>
      </c>
      <c r="D33">
        <v>64602</v>
      </c>
    </row>
    <row r="34" spans="1:4" x14ac:dyDescent="0.35">
      <c r="A34" t="s">
        <v>130</v>
      </c>
      <c r="B34">
        <v>2025</v>
      </c>
      <c r="C34" t="s">
        <v>99</v>
      </c>
      <c r="D34">
        <v>468081</v>
      </c>
    </row>
    <row r="35" spans="1:4" x14ac:dyDescent="0.35">
      <c r="A35" t="s">
        <v>131</v>
      </c>
      <c r="B35">
        <v>2025</v>
      </c>
      <c r="C35" t="s">
        <v>99</v>
      </c>
      <c r="D35">
        <v>66599</v>
      </c>
    </row>
    <row r="36" spans="1:4" x14ac:dyDescent="0.35">
      <c r="A36" t="s">
        <v>132</v>
      </c>
      <c r="B36">
        <v>2025</v>
      </c>
      <c r="C36" t="s">
        <v>99</v>
      </c>
      <c r="D36">
        <v>102013</v>
      </c>
    </row>
    <row r="37" spans="1:4" x14ac:dyDescent="0.35">
      <c r="A37" t="s">
        <v>133</v>
      </c>
      <c r="B37">
        <v>2025</v>
      </c>
      <c r="C37" t="s">
        <v>99</v>
      </c>
      <c r="D37">
        <v>193668</v>
      </c>
    </row>
    <row r="38" spans="1:4" x14ac:dyDescent="0.35">
      <c r="A38" t="s">
        <v>134</v>
      </c>
      <c r="B38">
        <v>2025</v>
      </c>
      <c r="C38" t="s">
        <v>99</v>
      </c>
      <c r="D38">
        <v>529391</v>
      </c>
    </row>
    <row r="39" spans="1:4" x14ac:dyDescent="0.35">
      <c r="A39" t="s">
        <v>135</v>
      </c>
      <c r="B39">
        <v>2025</v>
      </c>
      <c r="C39" t="s">
        <v>99</v>
      </c>
      <c r="D39">
        <v>284909</v>
      </c>
    </row>
    <row r="40" spans="1:4" x14ac:dyDescent="0.35">
      <c r="A40" t="s">
        <v>136</v>
      </c>
      <c r="B40">
        <v>2025</v>
      </c>
      <c r="C40" t="s">
        <v>99</v>
      </c>
      <c r="D40">
        <v>128075</v>
      </c>
    </row>
    <row r="41" spans="1:4" x14ac:dyDescent="0.35">
      <c r="A41" t="s">
        <v>137</v>
      </c>
      <c r="B41">
        <v>2025</v>
      </c>
      <c r="C41" t="s">
        <v>99</v>
      </c>
      <c r="D41">
        <v>454721</v>
      </c>
    </row>
    <row r="42" spans="1:4" x14ac:dyDescent="0.35">
      <c r="A42" t="s">
        <v>138</v>
      </c>
      <c r="B42">
        <v>2025</v>
      </c>
      <c r="C42" t="s">
        <v>99</v>
      </c>
      <c r="D42">
        <v>39961</v>
      </c>
    </row>
    <row r="43" spans="1:4" x14ac:dyDescent="0.35">
      <c r="A43" t="s">
        <v>139</v>
      </c>
      <c r="B43">
        <v>2025</v>
      </c>
      <c r="C43" t="s">
        <v>99</v>
      </c>
      <c r="D43">
        <v>572600</v>
      </c>
    </row>
    <row r="44" spans="1:4" x14ac:dyDescent="0.35">
      <c r="A44" t="s">
        <v>140</v>
      </c>
      <c r="B44">
        <v>2025</v>
      </c>
      <c r="C44" t="s">
        <v>99</v>
      </c>
      <c r="D44">
        <v>51358</v>
      </c>
    </row>
    <row r="45" spans="1:4" x14ac:dyDescent="0.35">
      <c r="A45" t="s">
        <v>141</v>
      </c>
      <c r="B45">
        <v>2025</v>
      </c>
      <c r="C45" t="s">
        <v>99</v>
      </c>
      <c r="D45">
        <v>583708</v>
      </c>
    </row>
    <row r="46" spans="1:4" x14ac:dyDescent="0.35">
      <c r="A46" t="s">
        <v>142</v>
      </c>
      <c r="B46">
        <v>2025</v>
      </c>
      <c r="C46" t="s">
        <v>99</v>
      </c>
      <c r="D46">
        <v>3597445</v>
      </c>
    </row>
    <row r="47" spans="1:4" x14ac:dyDescent="0.35">
      <c r="A47" t="s">
        <v>143</v>
      </c>
      <c r="B47">
        <v>2025</v>
      </c>
      <c r="C47" t="s">
        <v>99</v>
      </c>
      <c r="D47">
        <v>394099</v>
      </c>
    </row>
    <row r="48" spans="1:4" x14ac:dyDescent="0.35">
      <c r="A48" t="s">
        <v>144</v>
      </c>
      <c r="B48">
        <v>2025</v>
      </c>
      <c r="C48" t="s">
        <v>99</v>
      </c>
      <c r="D48">
        <v>365194</v>
      </c>
    </row>
    <row r="49" spans="1:4" x14ac:dyDescent="0.35">
      <c r="A49" t="s">
        <v>145</v>
      </c>
      <c r="B49">
        <v>2025</v>
      </c>
      <c r="C49" t="s">
        <v>99</v>
      </c>
      <c r="D49">
        <v>31124</v>
      </c>
    </row>
    <row r="50" spans="1:4" x14ac:dyDescent="0.35">
      <c r="A50" t="s">
        <v>146</v>
      </c>
      <c r="B50">
        <v>2025</v>
      </c>
      <c r="C50" t="s">
        <v>99</v>
      </c>
      <c r="D50">
        <v>287985</v>
      </c>
    </row>
    <row r="51" spans="1:4" x14ac:dyDescent="0.35">
      <c r="A51" t="s">
        <v>147</v>
      </c>
      <c r="B51">
        <v>2025</v>
      </c>
      <c r="C51" t="s">
        <v>99</v>
      </c>
      <c r="D51">
        <v>290117</v>
      </c>
    </row>
    <row r="52" spans="1:4" x14ac:dyDescent="0.35">
      <c r="A52" t="s">
        <v>148</v>
      </c>
      <c r="B52">
        <v>2025</v>
      </c>
      <c r="C52" t="s">
        <v>99</v>
      </c>
      <c r="D52">
        <v>60024</v>
      </c>
    </row>
    <row r="53" spans="1:4" x14ac:dyDescent="0.35">
      <c r="A53" t="s">
        <v>149</v>
      </c>
      <c r="B53">
        <v>2025</v>
      </c>
      <c r="C53" t="s">
        <v>99</v>
      </c>
      <c r="D53">
        <v>42883</v>
      </c>
    </row>
    <row r="54" spans="1:4" x14ac:dyDescent="0.35">
      <c r="A54" t="s">
        <v>63</v>
      </c>
      <c r="B54">
        <v>2025</v>
      </c>
      <c r="C54" t="s">
        <v>150</v>
      </c>
      <c r="D54">
        <v>21776626</v>
      </c>
    </row>
    <row r="55" spans="1:4" x14ac:dyDescent="0.35">
      <c r="A55" t="s">
        <v>98</v>
      </c>
      <c r="B55">
        <v>2025</v>
      </c>
      <c r="C55" t="s">
        <v>150</v>
      </c>
      <c r="D55">
        <v>27052</v>
      </c>
    </row>
    <row r="56" spans="1:4" x14ac:dyDescent="0.35">
      <c r="A56" t="s">
        <v>100</v>
      </c>
      <c r="B56">
        <v>2025</v>
      </c>
      <c r="C56" t="s">
        <v>150</v>
      </c>
      <c r="D56">
        <v>418815</v>
      </c>
    </row>
    <row r="57" spans="1:4" x14ac:dyDescent="0.35">
      <c r="A57" t="s">
        <v>101</v>
      </c>
      <c r="B57">
        <v>2025</v>
      </c>
      <c r="C57" t="s">
        <v>150</v>
      </c>
      <c r="D57">
        <v>144140</v>
      </c>
    </row>
    <row r="58" spans="1:4" x14ac:dyDescent="0.35">
      <c r="A58" t="s">
        <v>102</v>
      </c>
      <c r="B58">
        <v>2025</v>
      </c>
      <c r="C58" t="s">
        <v>150</v>
      </c>
      <c r="D58">
        <v>363110</v>
      </c>
    </row>
    <row r="59" spans="1:4" x14ac:dyDescent="0.35">
      <c r="A59" t="s">
        <v>103</v>
      </c>
      <c r="B59">
        <v>2025</v>
      </c>
      <c r="C59" t="s">
        <v>150</v>
      </c>
      <c r="D59">
        <v>1971965</v>
      </c>
    </row>
    <row r="60" spans="1:4" x14ac:dyDescent="0.35">
      <c r="A60" t="s">
        <v>104</v>
      </c>
      <c r="B60">
        <v>2025</v>
      </c>
      <c r="C60" t="s">
        <v>150</v>
      </c>
      <c r="D60">
        <v>260973</v>
      </c>
    </row>
    <row r="61" spans="1:4" x14ac:dyDescent="0.35">
      <c r="A61" t="s">
        <v>105</v>
      </c>
      <c r="B61">
        <v>2025</v>
      </c>
      <c r="C61" t="s">
        <v>150</v>
      </c>
      <c r="D61">
        <v>150483</v>
      </c>
    </row>
    <row r="62" spans="1:4" x14ac:dyDescent="0.35">
      <c r="A62" t="s">
        <v>106</v>
      </c>
      <c r="B62">
        <v>2025</v>
      </c>
      <c r="C62" t="s">
        <v>150</v>
      </c>
      <c r="D62">
        <v>13432</v>
      </c>
    </row>
    <row r="63" spans="1:4" x14ac:dyDescent="0.35">
      <c r="A63" t="s">
        <v>107</v>
      </c>
      <c r="B63">
        <v>2025</v>
      </c>
      <c r="C63" t="s">
        <v>150</v>
      </c>
      <c r="D63">
        <v>44290</v>
      </c>
    </row>
    <row r="64" spans="1:4" x14ac:dyDescent="0.35">
      <c r="A64" t="s">
        <v>108</v>
      </c>
      <c r="B64">
        <v>2025</v>
      </c>
      <c r="C64" t="s">
        <v>150</v>
      </c>
      <c r="D64">
        <v>4292372</v>
      </c>
    </row>
    <row r="65" spans="1:4" x14ac:dyDescent="0.35">
      <c r="A65" t="s">
        <v>109</v>
      </c>
      <c r="B65">
        <v>2025</v>
      </c>
      <c r="C65" t="s">
        <v>150</v>
      </c>
      <c r="D65">
        <v>1298071</v>
      </c>
    </row>
    <row r="66" spans="1:4" x14ac:dyDescent="0.35">
      <c r="A66" t="s">
        <v>110</v>
      </c>
      <c r="B66">
        <v>2025</v>
      </c>
      <c r="C66" t="s">
        <v>150</v>
      </c>
      <c r="D66">
        <v>23025</v>
      </c>
    </row>
    <row r="67" spans="1:4" x14ac:dyDescent="0.35">
      <c r="A67" t="s">
        <v>111</v>
      </c>
      <c r="B67">
        <v>2025</v>
      </c>
      <c r="C67" t="s">
        <v>150</v>
      </c>
      <c r="D67">
        <v>124311</v>
      </c>
    </row>
    <row r="68" spans="1:4" x14ac:dyDescent="0.35">
      <c r="A68" t="s">
        <v>112</v>
      </c>
      <c r="B68">
        <v>2025</v>
      </c>
      <c r="C68" t="s">
        <v>150</v>
      </c>
      <c r="D68">
        <v>116478</v>
      </c>
    </row>
    <row r="69" spans="1:4" x14ac:dyDescent="0.35">
      <c r="A69" t="s">
        <v>113</v>
      </c>
      <c r="B69">
        <v>2025</v>
      </c>
      <c r="C69" t="s">
        <v>150</v>
      </c>
      <c r="D69">
        <v>423727</v>
      </c>
    </row>
    <row r="70" spans="1:4" x14ac:dyDescent="0.35">
      <c r="A70" t="s">
        <v>114</v>
      </c>
      <c r="B70">
        <v>2025</v>
      </c>
      <c r="C70" t="s">
        <v>150</v>
      </c>
      <c r="D70">
        <v>281215</v>
      </c>
    </row>
    <row r="71" spans="1:4" x14ac:dyDescent="0.35">
      <c r="A71" t="s">
        <v>115</v>
      </c>
      <c r="B71">
        <v>2025</v>
      </c>
      <c r="C71" t="s">
        <v>150</v>
      </c>
      <c r="D71">
        <v>179920</v>
      </c>
    </row>
    <row r="72" spans="1:4" x14ac:dyDescent="0.35">
      <c r="A72" t="s">
        <v>116</v>
      </c>
      <c r="B72">
        <v>2025</v>
      </c>
      <c r="C72" t="s">
        <v>150</v>
      </c>
      <c r="D72">
        <v>90443</v>
      </c>
    </row>
    <row r="73" spans="1:4" x14ac:dyDescent="0.35">
      <c r="A73" t="s">
        <v>117</v>
      </c>
      <c r="B73">
        <v>2025</v>
      </c>
      <c r="C73" t="s">
        <v>150</v>
      </c>
      <c r="D73">
        <v>264790</v>
      </c>
    </row>
    <row r="74" spans="1:4" x14ac:dyDescent="0.35">
      <c r="A74" t="s">
        <v>118</v>
      </c>
      <c r="B74">
        <v>2025</v>
      </c>
      <c r="C74" t="s">
        <v>150</v>
      </c>
      <c r="D74">
        <v>351117</v>
      </c>
    </row>
    <row r="75" spans="1:4" x14ac:dyDescent="0.35">
      <c r="A75" t="s">
        <v>119</v>
      </c>
      <c r="B75">
        <v>2025</v>
      </c>
      <c r="C75" t="s">
        <v>150</v>
      </c>
      <c r="D75">
        <v>235924</v>
      </c>
    </row>
    <row r="76" spans="1:4" x14ac:dyDescent="0.35">
      <c r="A76" t="s">
        <v>120</v>
      </c>
      <c r="B76">
        <v>2025</v>
      </c>
      <c r="C76" t="s">
        <v>150</v>
      </c>
      <c r="D76">
        <v>62381</v>
      </c>
    </row>
    <row r="77" spans="1:4" x14ac:dyDescent="0.35">
      <c r="A77" t="s">
        <v>121</v>
      </c>
      <c r="B77">
        <v>2025</v>
      </c>
      <c r="C77" t="s">
        <v>150</v>
      </c>
      <c r="D77">
        <v>488139</v>
      </c>
    </row>
    <row r="78" spans="1:4" x14ac:dyDescent="0.35">
      <c r="A78" t="s">
        <v>122</v>
      </c>
      <c r="B78">
        <v>2025</v>
      </c>
      <c r="C78" t="s">
        <v>150</v>
      </c>
      <c r="D78">
        <v>145967</v>
      </c>
    </row>
    <row r="79" spans="1:4" x14ac:dyDescent="0.35">
      <c r="A79" t="s">
        <v>123</v>
      </c>
      <c r="B79">
        <v>2025</v>
      </c>
      <c r="C79" t="s">
        <v>150</v>
      </c>
      <c r="D79">
        <v>347424</v>
      </c>
    </row>
    <row r="80" spans="1:4" x14ac:dyDescent="0.35">
      <c r="A80" t="s">
        <v>124</v>
      </c>
      <c r="B80">
        <v>2025</v>
      </c>
      <c r="C80" t="s">
        <v>150</v>
      </c>
      <c r="D80">
        <v>260289</v>
      </c>
    </row>
    <row r="81" spans="1:4" x14ac:dyDescent="0.35">
      <c r="A81" t="s">
        <v>125</v>
      </c>
      <c r="B81">
        <v>2025</v>
      </c>
      <c r="C81" t="s">
        <v>150</v>
      </c>
      <c r="D81">
        <v>72195</v>
      </c>
    </row>
    <row r="82" spans="1:4" x14ac:dyDescent="0.35">
      <c r="A82" t="s">
        <v>126</v>
      </c>
      <c r="B82">
        <v>2025</v>
      </c>
      <c r="C82" t="s">
        <v>150</v>
      </c>
      <c r="D82">
        <v>774226</v>
      </c>
    </row>
    <row r="83" spans="1:4" x14ac:dyDescent="0.35">
      <c r="A83" t="s">
        <v>127</v>
      </c>
      <c r="B83">
        <v>2025</v>
      </c>
      <c r="C83" t="s">
        <v>150</v>
      </c>
      <c r="D83">
        <v>40650</v>
      </c>
    </row>
    <row r="84" spans="1:4" x14ac:dyDescent="0.35">
      <c r="A84" t="s">
        <v>128</v>
      </c>
      <c r="B84">
        <v>2025</v>
      </c>
      <c r="C84" t="s">
        <v>150</v>
      </c>
      <c r="D84">
        <v>130407</v>
      </c>
    </row>
    <row r="85" spans="1:4" x14ac:dyDescent="0.35">
      <c r="A85" t="s">
        <v>129</v>
      </c>
      <c r="B85">
        <v>2025</v>
      </c>
      <c r="C85" t="s">
        <v>150</v>
      </c>
      <c r="D85">
        <v>62584</v>
      </c>
    </row>
    <row r="86" spans="1:4" x14ac:dyDescent="0.35">
      <c r="A86" t="s">
        <v>130</v>
      </c>
      <c r="B86">
        <v>2025</v>
      </c>
      <c r="C86" t="s">
        <v>150</v>
      </c>
      <c r="D86">
        <v>499872</v>
      </c>
    </row>
    <row r="87" spans="1:4" x14ac:dyDescent="0.35">
      <c r="A87" t="s">
        <v>131</v>
      </c>
      <c r="B87">
        <v>2025</v>
      </c>
      <c r="C87" t="s">
        <v>150</v>
      </c>
      <c r="D87">
        <v>69915</v>
      </c>
    </row>
    <row r="88" spans="1:4" x14ac:dyDescent="0.35">
      <c r="A88" t="s">
        <v>132</v>
      </c>
      <c r="B88">
        <v>2025</v>
      </c>
      <c r="C88" t="s">
        <v>150</v>
      </c>
      <c r="D88">
        <v>107749</v>
      </c>
    </row>
    <row r="89" spans="1:4" x14ac:dyDescent="0.35">
      <c r="A89" t="s">
        <v>133</v>
      </c>
      <c r="B89">
        <v>2025</v>
      </c>
      <c r="C89" t="s">
        <v>150</v>
      </c>
      <c r="D89">
        <v>201997</v>
      </c>
    </row>
    <row r="90" spans="1:4" x14ac:dyDescent="0.35">
      <c r="A90" t="s">
        <v>134</v>
      </c>
      <c r="B90">
        <v>2025</v>
      </c>
      <c r="C90" t="s">
        <v>150</v>
      </c>
      <c r="D90">
        <v>497443</v>
      </c>
    </row>
    <row r="91" spans="1:4" x14ac:dyDescent="0.35">
      <c r="A91" t="s">
        <v>135</v>
      </c>
      <c r="B91">
        <v>2025</v>
      </c>
      <c r="C91" t="s">
        <v>150</v>
      </c>
      <c r="D91">
        <v>265157</v>
      </c>
    </row>
    <row r="92" spans="1:4" x14ac:dyDescent="0.35">
      <c r="A92" t="s">
        <v>136</v>
      </c>
      <c r="B92">
        <v>2025</v>
      </c>
      <c r="C92" t="s">
        <v>150</v>
      </c>
      <c r="D92">
        <v>129546</v>
      </c>
    </row>
    <row r="93" spans="1:4" x14ac:dyDescent="0.35">
      <c r="A93" t="s">
        <v>137</v>
      </c>
      <c r="B93">
        <v>2025</v>
      </c>
      <c r="C93" t="s">
        <v>150</v>
      </c>
      <c r="D93">
        <v>478353</v>
      </c>
    </row>
    <row r="94" spans="1:4" x14ac:dyDescent="0.35">
      <c r="A94" t="s">
        <v>138</v>
      </c>
      <c r="B94">
        <v>2025</v>
      </c>
      <c r="C94" t="s">
        <v>150</v>
      </c>
      <c r="D94">
        <v>41994</v>
      </c>
    </row>
    <row r="95" spans="1:4" x14ac:dyDescent="0.35">
      <c r="A95" t="s">
        <v>139</v>
      </c>
      <c r="B95">
        <v>2025</v>
      </c>
      <c r="C95" t="s">
        <v>150</v>
      </c>
      <c r="D95">
        <v>546335</v>
      </c>
    </row>
    <row r="96" spans="1:4" x14ac:dyDescent="0.35">
      <c r="A96" t="s">
        <v>140</v>
      </c>
      <c r="B96">
        <v>2025</v>
      </c>
      <c r="C96" t="s">
        <v>150</v>
      </c>
      <c r="D96">
        <v>51268</v>
      </c>
    </row>
    <row r="97" spans="1:4" x14ac:dyDescent="0.35">
      <c r="A97" t="s">
        <v>141</v>
      </c>
      <c r="B97">
        <v>2025</v>
      </c>
      <c r="C97" t="s">
        <v>150</v>
      </c>
      <c r="D97">
        <v>513772</v>
      </c>
    </row>
    <row r="98" spans="1:4" x14ac:dyDescent="0.35">
      <c r="A98" t="s">
        <v>142</v>
      </c>
      <c r="B98">
        <v>2025</v>
      </c>
      <c r="C98" t="s">
        <v>150</v>
      </c>
      <c r="D98">
        <v>3423543</v>
      </c>
    </row>
    <row r="99" spans="1:4" x14ac:dyDescent="0.35">
      <c r="A99" t="s">
        <v>143</v>
      </c>
      <c r="B99">
        <v>2025</v>
      </c>
      <c r="C99" t="s">
        <v>150</v>
      </c>
      <c r="D99">
        <v>400330</v>
      </c>
    </row>
    <row r="100" spans="1:4" x14ac:dyDescent="0.35">
      <c r="A100" t="s">
        <v>144</v>
      </c>
      <c r="B100">
        <v>2025</v>
      </c>
      <c r="C100" t="s">
        <v>150</v>
      </c>
      <c r="D100">
        <v>368519</v>
      </c>
    </row>
    <row r="101" spans="1:4" x14ac:dyDescent="0.35">
      <c r="A101" t="s">
        <v>145</v>
      </c>
      <c r="B101">
        <v>2025</v>
      </c>
      <c r="C101" t="s">
        <v>150</v>
      </c>
      <c r="D101">
        <v>32287</v>
      </c>
    </row>
    <row r="102" spans="1:4" x14ac:dyDescent="0.35">
      <c r="A102" t="s">
        <v>146</v>
      </c>
      <c r="B102">
        <v>2025</v>
      </c>
      <c r="C102" t="s">
        <v>150</v>
      </c>
      <c r="D102">
        <v>296073</v>
      </c>
    </row>
    <row r="103" spans="1:4" x14ac:dyDescent="0.35">
      <c r="A103" t="s">
        <v>147</v>
      </c>
      <c r="B103">
        <v>2025</v>
      </c>
      <c r="C103" t="s">
        <v>150</v>
      </c>
      <c r="D103">
        <v>291329</v>
      </c>
    </row>
    <row r="104" spans="1:4" x14ac:dyDescent="0.35">
      <c r="A104" t="s">
        <v>148</v>
      </c>
      <c r="B104">
        <v>2025</v>
      </c>
      <c r="C104" t="s">
        <v>150</v>
      </c>
      <c r="D104">
        <v>56962</v>
      </c>
    </row>
    <row r="105" spans="1:4" x14ac:dyDescent="0.35">
      <c r="A105" t="s">
        <v>149</v>
      </c>
      <c r="B105">
        <v>2025</v>
      </c>
      <c r="C105" t="s">
        <v>150</v>
      </c>
      <c r="D105">
        <v>44267</v>
      </c>
    </row>
    <row r="106" spans="1:4" x14ac:dyDescent="0.35">
      <c r="A106" t="s">
        <v>63</v>
      </c>
      <c r="B106">
        <v>2026</v>
      </c>
      <c r="C106" t="s">
        <v>99</v>
      </c>
      <c r="D106">
        <v>20191459</v>
      </c>
    </row>
    <row r="107" spans="1:4" x14ac:dyDescent="0.35">
      <c r="A107" t="s">
        <v>98</v>
      </c>
      <c r="B107">
        <v>2026</v>
      </c>
      <c r="C107" t="s">
        <v>99</v>
      </c>
      <c r="D107">
        <v>23000</v>
      </c>
    </row>
    <row r="108" spans="1:4" x14ac:dyDescent="0.35">
      <c r="A108" t="s">
        <v>100</v>
      </c>
      <c r="B108">
        <v>2026</v>
      </c>
      <c r="C108" t="s">
        <v>99</v>
      </c>
      <c r="D108">
        <v>392275</v>
      </c>
    </row>
    <row r="109" spans="1:4" x14ac:dyDescent="0.35">
      <c r="A109" t="s">
        <v>101</v>
      </c>
      <c r="B109">
        <v>2026</v>
      </c>
      <c r="C109" t="s">
        <v>99</v>
      </c>
      <c r="D109">
        <v>133280</v>
      </c>
    </row>
    <row r="110" spans="1:4" x14ac:dyDescent="0.35">
      <c r="A110" t="s">
        <v>102</v>
      </c>
      <c r="B110">
        <v>2026</v>
      </c>
      <c r="C110" t="s">
        <v>99</v>
      </c>
      <c r="D110">
        <v>293314</v>
      </c>
    </row>
    <row r="111" spans="1:4" x14ac:dyDescent="0.35">
      <c r="A111" t="s">
        <v>103</v>
      </c>
      <c r="B111">
        <v>2026</v>
      </c>
      <c r="C111" t="s">
        <v>99</v>
      </c>
      <c r="D111">
        <v>1861308</v>
      </c>
    </row>
    <row r="112" spans="1:4" x14ac:dyDescent="0.35">
      <c r="A112" t="s">
        <v>104</v>
      </c>
      <c r="B112">
        <v>2026</v>
      </c>
      <c r="C112" t="s">
        <v>99</v>
      </c>
      <c r="D112">
        <v>231903</v>
      </c>
    </row>
    <row r="113" spans="1:4" x14ac:dyDescent="0.35">
      <c r="A113" t="s">
        <v>105</v>
      </c>
      <c r="B113">
        <v>2026</v>
      </c>
      <c r="C113" t="s">
        <v>99</v>
      </c>
      <c r="D113">
        <v>138457</v>
      </c>
    </row>
    <row r="114" spans="1:4" x14ac:dyDescent="0.35">
      <c r="A114" t="s">
        <v>106</v>
      </c>
      <c r="B114">
        <v>2026</v>
      </c>
      <c r="C114" t="s">
        <v>99</v>
      </c>
      <c r="D114">
        <v>12784</v>
      </c>
    </row>
    <row r="115" spans="1:4" x14ac:dyDescent="0.35">
      <c r="A115" t="s">
        <v>107</v>
      </c>
      <c r="B115">
        <v>2026</v>
      </c>
      <c r="C115" t="s">
        <v>99</v>
      </c>
      <c r="D115">
        <v>38391</v>
      </c>
    </row>
    <row r="116" spans="1:4" x14ac:dyDescent="0.35">
      <c r="A116" t="s">
        <v>108</v>
      </c>
      <c r="B116">
        <v>2026</v>
      </c>
      <c r="C116" t="s">
        <v>99</v>
      </c>
      <c r="D116">
        <v>4011394</v>
      </c>
    </row>
    <row r="117" spans="1:4" x14ac:dyDescent="0.35">
      <c r="A117" t="s">
        <v>109</v>
      </c>
      <c r="B117">
        <v>2026</v>
      </c>
      <c r="C117" t="s">
        <v>99</v>
      </c>
      <c r="D117">
        <v>1112774</v>
      </c>
    </row>
    <row r="118" spans="1:4" x14ac:dyDescent="0.35">
      <c r="A118" t="s">
        <v>110</v>
      </c>
      <c r="B118">
        <v>2026</v>
      </c>
      <c r="C118" t="s">
        <v>99</v>
      </c>
      <c r="D118">
        <v>20328</v>
      </c>
    </row>
    <row r="119" spans="1:4" x14ac:dyDescent="0.35">
      <c r="A119" t="s">
        <v>111</v>
      </c>
      <c r="B119">
        <v>2026</v>
      </c>
      <c r="C119" t="s">
        <v>99</v>
      </c>
      <c r="D119">
        <v>111634</v>
      </c>
    </row>
    <row r="120" spans="1:4" x14ac:dyDescent="0.35">
      <c r="A120" t="s">
        <v>112</v>
      </c>
      <c r="B120">
        <v>2026</v>
      </c>
      <c r="C120" t="s">
        <v>99</v>
      </c>
      <c r="D120">
        <v>114819</v>
      </c>
    </row>
    <row r="121" spans="1:4" x14ac:dyDescent="0.35">
      <c r="A121" t="s">
        <v>113</v>
      </c>
      <c r="B121">
        <v>2026</v>
      </c>
      <c r="C121" t="s">
        <v>99</v>
      </c>
      <c r="D121">
        <v>404942</v>
      </c>
    </row>
    <row r="122" spans="1:4" x14ac:dyDescent="0.35">
      <c r="A122" t="s">
        <v>114</v>
      </c>
      <c r="B122">
        <v>2026</v>
      </c>
      <c r="C122" t="s">
        <v>99</v>
      </c>
      <c r="D122">
        <v>256548</v>
      </c>
    </row>
    <row r="123" spans="1:4" x14ac:dyDescent="0.35">
      <c r="A123" t="s">
        <v>115</v>
      </c>
      <c r="B123">
        <v>2026</v>
      </c>
      <c r="C123" t="s">
        <v>99</v>
      </c>
      <c r="D123">
        <v>165435</v>
      </c>
    </row>
    <row r="124" spans="1:4" x14ac:dyDescent="0.35">
      <c r="A124" t="s">
        <v>116</v>
      </c>
      <c r="B124">
        <v>2026</v>
      </c>
      <c r="C124" t="s">
        <v>99</v>
      </c>
      <c r="D124">
        <v>73940</v>
      </c>
    </row>
    <row r="125" spans="1:4" x14ac:dyDescent="0.35">
      <c r="A125" t="s">
        <v>117</v>
      </c>
      <c r="B125">
        <v>2026</v>
      </c>
      <c r="C125" t="s">
        <v>99</v>
      </c>
      <c r="D125">
        <v>259591</v>
      </c>
    </row>
    <row r="126" spans="1:4" x14ac:dyDescent="0.35">
      <c r="A126" t="s">
        <v>118</v>
      </c>
      <c r="B126">
        <v>2026</v>
      </c>
      <c r="C126" t="s">
        <v>99</v>
      </c>
      <c r="D126">
        <v>325683</v>
      </c>
    </row>
    <row r="127" spans="1:4" x14ac:dyDescent="0.35">
      <c r="A127" t="s">
        <v>119</v>
      </c>
      <c r="B127">
        <v>2026</v>
      </c>
      <c r="C127" t="s">
        <v>99</v>
      </c>
      <c r="D127">
        <v>230300</v>
      </c>
    </row>
    <row r="128" spans="1:4" x14ac:dyDescent="0.35">
      <c r="A128" t="s">
        <v>120</v>
      </c>
      <c r="B128">
        <v>2026</v>
      </c>
      <c r="C128" t="s">
        <v>99</v>
      </c>
      <c r="D128">
        <v>53606</v>
      </c>
    </row>
    <row r="129" spans="1:4" x14ac:dyDescent="0.35">
      <c r="A129" t="s">
        <v>121</v>
      </c>
      <c r="B129">
        <v>2026</v>
      </c>
      <c r="C129" t="s">
        <v>99</v>
      </c>
      <c r="D129">
        <v>366880</v>
      </c>
    </row>
    <row r="130" spans="1:4" x14ac:dyDescent="0.35">
      <c r="A130" t="s">
        <v>122</v>
      </c>
      <c r="B130">
        <v>2026</v>
      </c>
      <c r="C130" t="s">
        <v>99</v>
      </c>
      <c r="D130">
        <v>98472</v>
      </c>
    </row>
    <row r="131" spans="1:4" x14ac:dyDescent="0.35">
      <c r="A131" t="s">
        <v>123</v>
      </c>
      <c r="B131">
        <v>2026</v>
      </c>
      <c r="C131" t="s">
        <v>99</v>
      </c>
      <c r="D131">
        <v>314024</v>
      </c>
    </row>
    <row r="132" spans="1:4" x14ac:dyDescent="0.35">
      <c r="A132" t="s">
        <v>124</v>
      </c>
      <c r="B132">
        <v>2026</v>
      </c>
      <c r="C132" t="s">
        <v>99</v>
      </c>
      <c r="D132">
        <v>255342</v>
      </c>
    </row>
    <row r="133" spans="1:4" x14ac:dyDescent="0.35">
      <c r="A133" t="s">
        <v>125</v>
      </c>
      <c r="B133">
        <v>2026</v>
      </c>
      <c r="C133" t="s">
        <v>99</v>
      </c>
      <c r="D133">
        <v>65993</v>
      </c>
    </row>
    <row r="134" spans="1:4" x14ac:dyDescent="0.35">
      <c r="A134" t="s">
        <v>126</v>
      </c>
      <c r="B134">
        <v>2026</v>
      </c>
      <c r="C134" t="s">
        <v>99</v>
      </c>
      <c r="D134">
        <v>651513</v>
      </c>
    </row>
    <row r="135" spans="1:4" x14ac:dyDescent="0.35">
      <c r="A135" t="s">
        <v>127</v>
      </c>
      <c r="B135">
        <v>2026</v>
      </c>
      <c r="C135" t="s">
        <v>99</v>
      </c>
      <c r="D135">
        <v>37690</v>
      </c>
    </row>
    <row r="136" spans="1:4" x14ac:dyDescent="0.35">
      <c r="A136" t="s">
        <v>128</v>
      </c>
      <c r="B136">
        <v>2026</v>
      </c>
      <c r="C136" t="s">
        <v>99</v>
      </c>
      <c r="D136">
        <v>98922</v>
      </c>
    </row>
    <row r="137" spans="1:4" x14ac:dyDescent="0.35">
      <c r="A137" t="s">
        <v>129</v>
      </c>
      <c r="B137">
        <v>2026</v>
      </c>
      <c r="C137" t="s">
        <v>99</v>
      </c>
      <c r="D137">
        <v>58541</v>
      </c>
    </row>
    <row r="138" spans="1:4" x14ac:dyDescent="0.35">
      <c r="A138" t="s">
        <v>130</v>
      </c>
      <c r="B138">
        <v>2026</v>
      </c>
      <c r="C138" t="s">
        <v>99</v>
      </c>
      <c r="D138">
        <v>447676</v>
      </c>
    </row>
    <row r="139" spans="1:4" x14ac:dyDescent="0.35">
      <c r="A139" t="s">
        <v>131</v>
      </c>
      <c r="B139">
        <v>2026</v>
      </c>
      <c r="C139" t="s">
        <v>99</v>
      </c>
      <c r="D139">
        <v>76511</v>
      </c>
    </row>
    <row r="140" spans="1:4" x14ac:dyDescent="0.35">
      <c r="A140" t="s">
        <v>132</v>
      </c>
      <c r="B140">
        <v>2026</v>
      </c>
      <c r="C140" t="s">
        <v>99</v>
      </c>
      <c r="D140">
        <v>95841</v>
      </c>
    </row>
    <row r="141" spans="1:4" x14ac:dyDescent="0.35">
      <c r="A141" t="s">
        <v>133</v>
      </c>
      <c r="B141">
        <v>2026</v>
      </c>
      <c r="C141" t="s">
        <v>99</v>
      </c>
      <c r="D141">
        <v>179443</v>
      </c>
    </row>
    <row r="142" spans="1:4" x14ac:dyDescent="0.35">
      <c r="A142" t="s">
        <v>134</v>
      </c>
      <c r="B142">
        <v>2026</v>
      </c>
      <c r="C142" t="s">
        <v>99</v>
      </c>
      <c r="D142">
        <v>405517</v>
      </c>
    </row>
    <row r="143" spans="1:4" x14ac:dyDescent="0.35">
      <c r="A143" t="s">
        <v>135</v>
      </c>
      <c r="B143">
        <v>2026</v>
      </c>
      <c r="C143" t="s">
        <v>99</v>
      </c>
      <c r="D143">
        <v>227215</v>
      </c>
    </row>
    <row r="144" spans="1:4" x14ac:dyDescent="0.35">
      <c r="A144" t="s">
        <v>136</v>
      </c>
      <c r="B144">
        <v>2026</v>
      </c>
      <c r="C144" t="s">
        <v>99</v>
      </c>
      <c r="D144">
        <v>106427</v>
      </c>
    </row>
    <row r="145" spans="1:4" x14ac:dyDescent="0.35">
      <c r="A145" t="s">
        <v>137</v>
      </c>
      <c r="B145">
        <v>2026</v>
      </c>
      <c r="C145" t="s">
        <v>99</v>
      </c>
      <c r="D145">
        <v>462778</v>
      </c>
    </row>
    <row r="146" spans="1:4" x14ac:dyDescent="0.35">
      <c r="A146" t="s">
        <v>138</v>
      </c>
      <c r="B146">
        <v>2026</v>
      </c>
      <c r="C146" t="s">
        <v>99</v>
      </c>
      <c r="D146">
        <v>34973</v>
      </c>
    </row>
    <row r="147" spans="1:4" x14ac:dyDescent="0.35">
      <c r="A147" t="s">
        <v>139</v>
      </c>
      <c r="B147">
        <v>2026</v>
      </c>
      <c r="C147" t="s">
        <v>99</v>
      </c>
      <c r="D147">
        <v>490321</v>
      </c>
    </row>
    <row r="148" spans="1:4" x14ac:dyDescent="0.35">
      <c r="A148" t="s">
        <v>140</v>
      </c>
      <c r="B148">
        <v>2026</v>
      </c>
      <c r="C148" t="s">
        <v>99</v>
      </c>
      <c r="D148">
        <v>46329</v>
      </c>
    </row>
    <row r="149" spans="1:4" x14ac:dyDescent="0.35">
      <c r="A149" t="s">
        <v>141</v>
      </c>
      <c r="B149">
        <v>2026</v>
      </c>
      <c r="C149" t="s">
        <v>99</v>
      </c>
      <c r="D149">
        <v>496456</v>
      </c>
    </row>
    <row r="150" spans="1:4" x14ac:dyDescent="0.35">
      <c r="A150" t="s">
        <v>142</v>
      </c>
      <c r="B150">
        <v>2026</v>
      </c>
      <c r="C150" t="s">
        <v>99</v>
      </c>
      <c r="D150">
        <v>3607239</v>
      </c>
    </row>
    <row r="151" spans="1:4" x14ac:dyDescent="0.35">
      <c r="A151" t="s">
        <v>143</v>
      </c>
      <c r="B151">
        <v>2026</v>
      </c>
      <c r="C151" t="s">
        <v>99</v>
      </c>
      <c r="D151">
        <v>330357</v>
      </c>
    </row>
    <row r="152" spans="1:4" x14ac:dyDescent="0.35">
      <c r="A152" t="s">
        <v>144</v>
      </c>
      <c r="B152">
        <v>2026</v>
      </c>
      <c r="C152" t="s">
        <v>99</v>
      </c>
      <c r="D152">
        <v>342094</v>
      </c>
    </row>
    <row r="153" spans="1:4" x14ac:dyDescent="0.35">
      <c r="A153" t="s">
        <v>145</v>
      </c>
      <c r="B153">
        <v>2026</v>
      </c>
      <c r="C153" t="s">
        <v>99</v>
      </c>
      <c r="D153">
        <v>29120</v>
      </c>
    </row>
    <row r="154" spans="1:4" x14ac:dyDescent="0.35">
      <c r="A154" t="s">
        <v>146</v>
      </c>
      <c r="B154">
        <v>2026</v>
      </c>
      <c r="C154" t="s">
        <v>99</v>
      </c>
      <c r="D154">
        <v>258137</v>
      </c>
    </row>
    <row r="155" spans="1:4" x14ac:dyDescent="0.35">
      <c r="A155" t="s">
        <v>147</v>
      </c>
      <c r="B155">
        <v>2026</v>
      </c>
      <c r="C155" t="s">
        <v>99</v>
      </c>
      <c r="D155">
        <v>257619</v>
      </c>
    </row>
    <row r="156" spans="1:4" x14ac:dyDescent="0.35">
      <c r="A156" t="s">
        <v>148</v>
      </c>
      <c r="B156">
        <v>2026</v>
      </c>
      <c r="C156" t="s">
        <v>99</v>
      </c>
      <c r="D156">
        <v>48312</v>
      </c>
    </row>
    <row r="157" spans="1:4" x14ac:dyDescent="0.35">
      <c r="A157" t="s">
        <v>149</v>
      </c>
      <c r="B157">
        <v>2026</v>
      </c>
      <c r="C157" t="s">
        <v>99</v>
      </c>
      <c r="D157">
        <v>36011</v>
      </c>
    </row>
    <row r="158" spans="1:4" x14ac:dyDescent="0.35">
      <c r="A158" t="s">
        <v>63</v>
      </c>
      <c r="B158">
        <v>2026</v>
      </c>
      <c r="C158" t="s">
        <v>150</v>
      </c>
      <c r="D158">
        <v>19169147</v>
      </c>
    </row>
    <row r="159" spans="1:4" x14ac:dyDescent="0.35">
      <c r="A159" t="s">
        <v>98</v>
      </c>
      <c r="B159">
        <v>2026</v>
      </c>
      <c r="C159" t="s">
        <v>150</v>
      </c>
      <c r="D159">
        <v>23546</v>
      </c>
    </row>
    <row r="160" spans="1:4" x14ac:dyDescent="0.35">
      <c r="A160" t="s">
        <v>100</v>
      </c>
      <c r="B160">
        <v>2026</v>
      </c>
      <c r="C160" t="s">
        <v>150</v>
      </c>
      <c r="D160">
        <v>324504</v>
      </c>
    </row>
    <row r="161" spans="1:4" x14ac:dyDescent="0.35">
      <c r="A161" t="s">
        <v>101</v>
      </c>
      <c r="B161">
        <v>2026</v>
      </c>
      <c r="C161" t="s">
        <v>150</v>
      </c>
      <c r="D161">
        <v>129699</v>
      </c>
    </row>
    <row r="162" spans="1:4" x14ac:dyDescent="0.35">
      <c r="A162" t="s">
        <v>102</v>
      </c>
      <c r="B162">
        <v>2026</v>
      </c>
      <c r="C162" t="s">
        <v>150</v>
      </c>
      <c r="D162">
        <v>255927</v>
      </c>
    </row>
    <row r="163" spans="1:4" x14ac:dyDescent="0.35">
      <c r="A163" t="s">
        <v>103</v>
      </c>
      <c r="B163">
        <v>2026</v>
      </c>
      <c r="C163" t="s">
        <v>150</v>
      </c>
      <c r="D163">
        <v>1847315</v>
      </c>
    </row>
    <row r="164" spans="1:4" x14ac:dyDescent="0.35">
      <c r="A164" t="s">
        <v>104</v>
      </c>
      <c r="B164">
        <v>2026</v>
      </c>
      <c r="C164" t="s">
        <v>150</v>
      </c>
      <c r="D164">
        <v>242970</v>
      </c>
    </row>
    <row r="165" spans="1:4" x14ac:dyDescent="0.35">
      <c r="A165" t="s">
        <v>105</v>
      </c>
      <c r="B165">
        <v>2026</v>
      </c>
      <c r="C165" t="s">
        <v>150</v>
      </c>
      <c r="D165">
        <v>148596</v>
      </c>
    </row>
    <row r="166" spans="1:4" x14ac:dyDescent="0.35">
      <c r="A166" t="s">
        <v>106</v>
      </c>
      <c r="B166">
        <v>2026</v>
      </c>
      <c r="C166" t="s">
        <v>150</v>
      </c>
      <c r="D166">
        <v>12973</v>
      </c>
    </row>
    <row r="167" spans="1:4" x14ac:dyDescent="0.35">
      <c r="A167" t="s">
        <v>107</v>
      </c>
      <c r="B167">
        <v>2026</v>
      </c>
      <c r="C167" t="s">
        <v>150</v>
      </c>
      <c r="D167">
        <v>36282</v>
      </c>
    </row>
    <row r="168" spans="1:4" x14ac:dyDescent="0.35">
      <c r="A168" t="s">
        <v>108</v>
      </c>
      <c r="B168">
        <v>2026</v>
      </c>
      <c r="C168" t="s">
        <v>150</v>
      </c>
      <c r="D168">
        <v>3849587</v>
      </c>
    </row>
    <row r="169" spans="1:4" x14ac:dyDescent="0.35">
      <c r="A169" t="s">
        <v>109</v>
      </c>
      <c r="B169">
        <v>2026</v>
      </c>
      <c r="C169" t="s">
        <v>150</v>
      </c>
      <c r="D169">
        <v>1188140</v>
      </c>
    </row>
    <row r="170" spans="1:4" x14ac:dyDescent="0.35">
      <c r="A170" t="s">
        <v>110</v>
      </c>
      <c r="B170">
        <v>2026</v>
      </c>
      <c r="C170" t="s">
        <v>150</v>
      </c>
      <c r="D170">
        <v>20974</v>
      </c>
    </row>
    <row r="171" spans="1:4" x14ac:dyDescent="0.35">
      <c r="A171" t="s">
        <v>111</v>
      </c>
      <c r="B171">
        <v>2026</v>
      </c>
      <c r="C171" t="s">
        <v>150</v>
      </c>
      <c r="D171">
        <v>103253</v>
      </c>
    </row>
    <row r="172" spans="1:4" x14ac:dyDescent="0.35">
      <c r="A172" t="s">
        <v>112</v>
      </c>
      <c r="B172">
        <v>2026</v>
      </c>
      <c r="C172" t="s">
        <v>150</v>
      </c>
      <c r="D172">
        <v>113957</v>
      </c>
    </row>
    <row r="173" spans="1:4" x14ac:dyDescent="0.35">
      <c r="A173" t="s">
        <v>113</v>
      </c>
      <c r="B173">
        <v>2026</v>
      </c>
      <c r="C173" t="s">
        <v>150</v>
      </c>
      <c r="D173">
        <v>421852</v>
      </c>
    </row>
    <row r="174" spans="1:4" x14ac:dyDescent="0.35">
      <c r="A174" t="s">
        <v>114</v>
      </c>
      <c r="B174">
        <v>2026</v>
      </c>
      <c r="C174" t="s">
        <v>150</v>
      </c>
      <c r="D174">
        <v>203119</v>
      </c>
    </row>
    <row r="175" spans="1:4" x14ac:dyDescent="0.35">
      <c r="A175" t="s">
        <v>115</v>
      </c>
      <c r="B175">
        <v>2026</v>
      </c>
      <c r="C175" t="s">
        <v>150</v>
      </c>
      <c r="D175">
        <v>143880</v>
      </c>
    </row>
    <row r="176" spans="1:4" x14ac:dyDescent="0.35">
      <c r="A176" t="s">
        <v>116</v>
      </c>
      <c r="B176">
        <v>2026</v>
      </c>
      <c r="C176" t="s">
        <v>150</v>
      </c>
      <c r="D176">
        <v>77526</v>
      </c>
    </row>
    <row r="177" spans="1:4" x14ac:dyDescent="0.35">
      <c r="A177" t="s">
        <v>117</v>
      </c>
      <c r="B177">
        <v>2026</v>
      </c>
      <c r="C177" t="s">
        <v>150</v>
      </c>
      <c r="D177">
        <v>195759</v>
      </c>
    </row>
    <row r="178" spans="1:4" x14ac:dyDescent="0.35">
      <c r="A178" t="s">
        <v>118</v>
      </c>
      <c r="B178">
        <v>2026</v>
      </c>
      <c r="C178" t="s">
        <v>150</v>
      </c>
      <c r="D178">
        <v>338197</v>
      </c>
    </row>
    <row r="179" spans="1:4" x14ac:dyDescent="0.35">
      <c r="A179" t="s">
        <v>119</v>
      </c>
      <c r="B179">
        <v>2026</v>
      </c>
      <c r="C179" t="s">
        <v>150</v>
      </c>
      <c r="D179">
        <v>223483</v>
      </c>
    </row>
    <row r="180" spans="1:4" x14ac:dyDescent="0.35">
      <c r="A180" t="s">
        <v>120</v>
      </c>
      <c r="B180">
        <v>2026</v>
      </c>
      <c r="C180" t="s">
        <v>150</v>
      </c>
      <c r="D180">
        <v>54800</v>
      </c>
    </row>
    <row r="181" spans="1:4" x14ac:dyDescent="0.35">
      <c r="A181" t="s">
        <v>121</v>
      </c>
      <c r="B181">
        <v>2026</v>
      </c>
      <c r="C181" t="s">
        <v>150</v>
      </c>
      <c r="D181">
        <v>357350</v>
      </c>
    </row>
    <row r="182" spans="1:4" x14ac:dyDescent="0.35">
      <c r="A182" t="s">
        <v>122</v>
      </c>
      <c r="B182">
        <v>2026</v>
      </c>
      <c r="C182" t="s">
        <v>150</v>
      </c>
      <c r="D182">
        <v>104788</v>
      </c>
    </row>
    <row r="183" spans="1:4" x14ac:dyDescent="0.35">
      <c r="A183" t="s">
        <v>123</v>
      </c>
      <c r="B183">
        <v>2026</v>
      </c>
      <c r="C183" t="s">
        <v>150</v>
      </c>
      <c r="D183">
        <v>260999</v>
      </c>
    </row>
    <row r="184" spans="1:4" x14ac:dyDescent="0.35">
      <c r="A184" t="s">
        <v>124</v>
      </c>
      <c r="B184">
        <v>2026</v>
      </c>
      <c r="C184" t="s">
        <v>150</v>
      </c>
      <c r="D184">
        <v>191631</v>
      </c>
    </row>
    <row r="185" spans="1:4" x14ac:dyDescent="0.35">
      <c r="A185" t="s">
        <v>125</v>
      </c>
      <c r="B185">
        <v>2026</v>
      </c>
      <c r="C185" t="s">
        <v>150</v>
      </c>
      <c r="D185">
        <v>63975</v>
      </c>
    </row>
    <row r="186" spans="1:4" x14ac:dyDescent="0.35">
      <c r="A186" t="s">
        <v>126</v>
      </c>
      <c r="B186">
        <v>2026</v>
      </c>
      <c r="C186" t="s">
        <v>150</v>
      </c>
      <c r="D186">
        <v>609544</v>
      </c>
    </row>
    <row r="187" spans="1:4" x14ac:dyDescent="0.35">
      <c r="A187" t="s">
        <v>127</v>
      </c>
      <c r="B187">
        <v>2026</v>
      </c>
      <c r="C187" t="s">
        <v>150</v>
      </c>
      <c r="D187">
        <v>37472</v>
      </c>
    </row>
    <row r="188" spans="1:4" x14ac:dyDescent="0.35">
      <c r="A188" t="s">
        <v>128</v>
      </c>
      <c r="B188">
        <v>2026</v>
      </c>
      <c r="C188" t="s">
        <v>150</v>
      </c>
      <c r="D188">
        <v>100622</v>
      </c>
    </row>
    <row r="189" spans="1:4" x14ac:dyDescent="0.35">
      <c r="A189" t="s">
        <v>129</v>
      </c>
      <c r="B189">
        <v>2026</v>
      </c>
      <c r="C189" t="s">
        <v>150</v>
      </c>
      <c r="D189">
        <v>57716</v>
      </c>
    </row>
    <row r="190" spans="1:4" x14ac:dyDescent="0.35">
      <c r="A190" t="s">
        <v>130</v>
      </c>
      <c r="B190">
        <v>2026</v>
      </c>
      <c r="C190" t="s">
        <v>150</v>
      </c>
      <c r="D190">
        <v>471801</v>
      </c>
    </row>
    <row r="191" spans="1:4" x14ac:dyDescent="0.35">
      <c r="A191" t="s">
        <v>131</v>
      </c>
      <c r="B191">
        <v>2026</v>
      </c>
      <c r="C191" t="s">
        <v>150</v>
      </c>
      <c r="D191">
        <v>80047</v>
      </c>
    </row>
    <row r="192" spans="1:4" x14ac:dyDescent="0.35">
      <c r="A192" t="s">
        <v>132</v>
      </c>
      <c r="B192">
        <v>2026</v>
      </c>
      <c r="C192" t="s">
        <v>150</v>
      </c>
      <c r="D192">
        <v>99663</v>
      </c>
    </row>
    <row r="193" spans="1:4" x14ac:dyDescent="0.35">
      <c r="A193" t="s">
        <v>133</v>
      </c>
      <c r="B193">
        <v>2026</v>
      </c>
      <c r="C193" t="s">
        <v>150</v>
      </c>
      <c r="D193">
        <v>186497</v>
      </c>
    </row>
    <row r="194" spans="1:4" x14ac:dyDescent="0.35">
      <c r="A194" t="s">
        <v>134</v>
      </c>
      <c r="B194">
        <v>2026</v>
      </c>
      <c r="C194" t="s">
        <v>150</v>
      </c>
      <c r="D194">
        <v>336058</v>
      </c>
    </row>
    <row r="195" spans="1:4" x14ac:dyDescent="0.35">
      <c r="A195" t="s">
        <v>135</v>
      </c>
      <c r="B195">
        <v>2026</v>
      </c>
      <c r="C195" t="s">
        <v>150</v>
      </c>
      <c r="D195">
        <v>179600</v>
      </c>
    </row>
    <row r="196" spans="1:4" x14ac:dyDescent="0.35">
      <c r="A196" t="s">
        <v>136</v>
      </c>
      <c r="B196">
        <v>2026</v>
      </c>
      <c r="C196" t="s">
        <v>150</v>
      </c>
      <c r="D196">
        <v>105911</v>
      </c>
    </row>
    <row r="197" spans="1:4" x14ac:dyDescent="0.35">
      <c r="A197" t="s">
        <v>137</v>
      </c>
      <c r="B197">
        <v>2026</v>
      </c>
      <c r="C197" t="s">
        <v>150</v>
      </c>
      <c r="D197">
        <v>472627</v>
      </c>
    </row>
    <row r="198" spans="1:4" x14ac:dyDescent="0.35">
      <c r="A198" t="s">
        <v>138</v>
      </c>
      <c r="B198">
        <v>2026</v>
      </c>
      <c r="C198" t="s">
        <v>150</v>
      </c>
      <c r="D198">
        <v>39991</v>
      </c>
    </row>
    <row r="199" spans="1:4" x14ac:dyDescent="0.35">
      <c r="A199" t="s">
        <v>139</v>
      </c>
      <c r="B199">
        <v>2026</v>
      </c>
      <c r="C199" t="s">
        <v>150</v>
      </c>
      <c r="D199">
        <v>387145</v>
      </c>
    </row>
    <row r="200" spans="1:4" x14ac:dyDescent="0.35">
      <c r="A200" t="s">
        <v>140</v>
      </c>
      <c r="B200">
        <v>2026</v>
      </c>
      <c r="C200" t="s">
        <v>150</v>
      </c>
      <c r="D200">
        <v>45888</v>
      </c>
    </row>
    <row r="201" spans="1:4" x14ac:dyDescent="0.35">
      <c r="A201" t="s">
        <v>141</v>
      </c>
      <c r="B201">
        <v>2026</v>
      </c>
      <c r="C201" t="s">
        <v>150</v>
      </c>
      <c r="D201">
        <v>441515</v>
      </c>
    </row>
    <row r="202" spans="1:4" x14ac:dyDescent="0.35">
      <c r="A202" t="s">
        <v>142</v>
      </c>
      <c r="B202">
        <v>2026</v>
      </c>
      <c r="C202" t="s">
        <v>150</v>
      </c>
      <c r="D202">
        <v>3277198</v>
      </c>
    </row>
    <row r="203" spans="1:4" x14ac:dyDescent="0.35">
      <c r="A203" t="s">
        <v>143</v>
      </c>
      <c r="B203">
        <v>2026</v>
      </c>
      <c r="C203" t="s">
        <v>150</v>
      </c>
      <c r="D203">
        <v>337266</v>
      </c>
    </row>
    <row r="204" spans="1:4" x14ac:dyDescent="0.35">
      <c r="A204" t="s">
        <v>144</v>
      </c>
      <c r="B204">
        <v>2026</v>
      </c>
      <c r="C204" t="s">
        <v>150</v>
      </c>
      <c r="D204">
        <v>338768</v>
      </c>
    </row>
    <row r="205" spans="1:4" x14ac:dyDescent="0.35">
      <c r="A205" t="s">
        <v>145</v>
      </c>
      <c r="B205">
        <v>2026</v>
      </c>
      <c r="C205" t="s">
        <v>150</v>
      </c>
      <c r="D205">
        <v>28968</v>
      </c>
    </row>
    <row r="206" spans="1:4" x14ac:dyDescent="0.35">
      <c r="A206" t="s">
        <v>146</v>
      </c>
      <c r="B206">
        <v>2026</v>
      </c>
      <c r="C206" t="s">
        <v>150</v>
      </c>
      <c r="D206">
        <v>269993</v>
      </c>
    </row>
    <row r="207" spans="1:4" x14ac:dyDescent="0.35">
      <c r="A207" t="s">
        <v>147</v>
      </c>
      <c r="B207">
        <v>2026</v>
      </c>
      <c r="C207" t="s">
        <v>150</v>
      </c>
      <c r="D207">
        <v>245753</v>
      </c>
    </row>
    <row r="208" spans="1:4" x14ac:dyDescent="0.35">
      <c r="A208" t="s">
        <v>148</v>
      </c>
      <c r="B208">
        <v>2026</v>
      </c>
      <c r="C208" t="s">
        <v>150</v>
      </c>
      <c r="D208">
        <v>49508</v>
      </c>
    </row>
    <row r="209" spans="1:4" x14ac:dyDescent="0.35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Mcaid</vt:lpstr>
      <vt:lpstr>Mcaid Peak Baseline</vt:lpstr>
      <vt:lpstr>CHIP</vt:lpstr>
      <vt:lpstr>CHIP Peak Baseline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2026-08-05T19:39:10Z</dcterms:modified>
</cp:coreProperties>
</file>
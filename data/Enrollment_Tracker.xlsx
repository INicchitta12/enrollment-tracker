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hausa-my.sharepoint.com/personal/inicchitta_aha_org/Documents/Documents/Projects/Enrollment Tracking/project/data/"/>
    </mc:Choice>
  </mc:AlternateContent>
  <xr:revisionPtr revIDLastSave="151" documentId="13_ncr:1_{F42CCC4A-64CB-4D65-8DF8-D273176EBD5B}" xr6:coauthVersionLast="47" xr6:coauthVersionMax="47" xr10:uidLastSave="{0058E747-FF3B-4770-B6D4-5D7CBAAAB88A}"/>
  <bookViews>
    <workbookView xWindow="28680" yWindow="-120" windowWidth="29040" windowHeight="15720" xr2:uid="{ABF58F20-35C5-4B4F-8D44-F14F003A923B}"/>
  </bookViews>
  <sheets>
    <sheet name="Mcaid" sheetId="1" r:id="rId1"/>
    <sheet name="Mcaid Peak Baseline" sheetId="6" r:id="rId2"/>
    <sheet name="CHIP" sheetId="7" r:id="rId3"/>
    <sheet name="CHIP Peak Baseline" sheetId="8" r:id="rId4"/>
    <sheet name="BHP" sheetId="2" r:id="rId5"/>
    <sheet name="Marketplace" sheetId="3" r:id="rId6"/>
    <sheet name="Marketplace (2)" sheetId="5" r:id="rId7"/>
    <sheet name="Marketplace Feb. Effec. Enroll" sheetId="4" r:id="rId8"/>
  </sheets>
  <definedNames>
    <definedName name="_xlnm._FilterDatabase" localSheetId="5" hidden="1">Marketplace!$A$1:$A$313</definedName>
    <definedName name="_xlnm._FilterDatabase" localSheetId="6" hidden="1">'Marketplace (2)'!$A$1:$A$313</definedName>
    <definedName name="_xlnm._FilterDatabase" localSheetId="0" hidden="1">Mcaid!$A$1:$P$261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5" i="7" l="1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14" i="7"/>
  <c r="E365" i="7"/>
  <c r="C365" i="7"/>
  <c r="P365" i="1"/>
  <c r="F365" i="1"/>
  <c r="G365" i="1"/>
  <c r="H365" i="1"/>
  <c r="I365" i="1"/>
  <c r="J365" i="1"/>
  <c r="M365" i="1" s="1"/>
  <c r="N365" i="1"/>
  <c r="O365" i="1" s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M364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K365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E365" i="1"/>
  <c r="D365" i="1"/>
  <c r="C365" i="1"/>
  <c r="D313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262" i="7"/>
  <c r="E313" i="7"/>
  <c r="C313" i="7"/>
  <c r="P313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N313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L313" i="1"/>
  <c r="K312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J313" i="1"/>
  <c r="I313" i="1"/>
  <c r="H313" i="1"/>
  <c r="G313" i="1"/>
  <c r="F313" i="1"/>
  <c r="E313" i="1"/>
  <c r="D313" i="1"/>
  <c r="C313" i="1"/>
  <c r="E261" i="7"/>
  <c r="D261" i="7" s="1"/>
  <c r="E209" i="7"/>
  <c r="E157" i="7"/>
  <c r="E105" i="7"/>
  <c r="D105" i="7" s="1"/>
  <c r="E53" i="7"/>
  <c r="D53" i="7" s="1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" i="7"/>
  <c r="D53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3" i="8"/>
  <c r="D4" i="8"/>
  <c r="D2" i="8"/>
  <c r="E53" i="8"/>
  <c r="C261" i="7"/>
  <c r="C53" i="8"/>
  <c r="C209" i="7"/>
  <c r="C157" i="7"/>
  <c r="C105" i="7"/>
  <c r="C53" i="7"/>
  <c r="C53" i="6"/>
  <c r="O260" i="1"/>
  <c r="O208" i="1"/>
  <c r="P261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10" i="1"/>
  <c r="N261" i="1"/>
  <c r="O261" i="1" s="1"/>
  <c r="M44" i="1"/>
  <c r="M208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L261" i="1"/>
  <c r="M261" i="1" s="1"/>
  <c r="K215" i="1"/>
  <c r="K207" i="1"/>
  <c r="J261" i="1"/>
  <c r="I261" i="1"/>
  <c r="H261" i="1"/>
  <c r="G261" i="1"/>
  <c r="F261" i="1"/>
  <c r="E261" i="1"/>
  <c r="C261" i="1"/>
  <c r="K211" i="1"/>
  <c r="K212" i="1"/>
  <c r="K213" i="1"/>
  <c r="K214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10" i="1"/>
  <c r="D261" i="1"/>
  <c r="H209" i="1"/>
  <c r="I209" i="1"/>
  <c r="H157" i="1"/>
  <c r="I157" i="1"/>
  <c r="H105" i="1"/>
  <c r="I105" i="1"/>
  <c r="H53" i="1"/>
  <c r="I53" i="1"/>
  <c r="D157" i="5"/>
  <c r="D105" i="5"/>
  <c r="K53" i="5"/>
  <c r="H53" i="5"/>
  <c r="G53" i="5"/>
  <c r="F53" i="5"/>
  <c r="E53" i="5"/>
  <c r="D53" i="5"/>
  <c r="N209" i="1"/>
  <c r="J209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L209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" i="1"/>
  <c r="P209" i="1"/>
  <c r="F209" i="1"/>
  <c r="K208" i="1"/>
  <c r="G209" i="1"/>
  <c r="E209" i="1"/>
  <c r="D209" i="1"/>
  <c r="C209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E157" i="1"/>
  <c r="E105" i="1"/>
  <c r="E53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N157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06" i="1"/>
  <c r="M4" i="1"/>
  <c r="O3" i="1"/>
  <c r="O59" i="1"/>
  <c r="O2" i="1"/>
  <c r="P157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06" i="1"/>
  <c r="C157" i="1"/>
  <c r="L157" i="1"/>
  <c r="J157" i="1"/>
  <c r="F157" i="1"/>
  <c r="G157" i="1"/>
  <c r="D157" i="1"/>
  <c r="D105" i="1"/>
  <c r="D53" i="1"/>
  <c r="P105" i="1"/>
  <c r="N105" i="1"/>
  <c r="F105" i="1"/>
  <c r="G105" i="1"/>
  <c r="J105" i="1"/>
  <c r="L105" i="1"/>
  <c r="C105" i="1"/>
  <c r="O54" i="1"/>
  <c r="O55" i="1"/>
  <c r="O56" i="1"/>
  <c r="O57" i="1"/>
  <c r="O58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C6" i="2"/>
  <c r="K53" i="3"/>
  <c r="E53" i="3"/>
  <c r="F53" i="3"/>
  <c r="G53" i="3"/>
  <c r="H53" i="3"/>
  <c r="D53" i="3"/>
  <c r="P53" i="1"/>
  <c r="N53" i="1"/>
  <c r="F53" i="1"/>
  <c r="G53" i="1"/>
  <c r="J53" i="1"/>
  <c r="L53" i="1"/>
  <c r="M53" i="1" s="1"/>
  <c r="C5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M3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5" i="1"/>
  <c r="M46" i="1"/>
  <c r="M47" i="1"/>
  <c r="M48" i="1"/>
  <c r="M49" i="1"/>
  <c r="M50" i="1"/>
  <c r="M51" i="1"/>
  <c r="M52" i="1"/>
  <c r="K313" i="1" l="1"/>
  <c r="O313" i="1"/>
  <c r="O209" i="1"/>
  <c r="M157" i="1"/>
  <c r="M313" i="1"/>
  <c r="K261" i="1"/>
  <c r="M105" i="1"/>
  <c r="K157" i="1"/>
  <c r="K53" i="1"/>
  <c r="O53" i="1"/>
  <c r="O105" i="1"/>
  <c r="O157" i="1"/>
  <c r="M209" i="1"/>
  <c r="K105" i="1"/>
  <c r="K209" i="1"/>
</calcChain>
</file>

<file path=xl/sharedStrings.xml><?xml version="1.0" encoding="utf-8"?>
<sst xmlns="http://schemas.openxmlformats.org/spreadsheetml/2006/main" count="3132" uniqueCount="157">
  <si>
    <t>Alaska</t>
  </si>
  <si>
    <t>Alabama</t>
  </si>
  <si>
    <t>Arkansas</t>
  </si>
  <si>
    <t>Arizona</t>
  </si>
  <si>
    <t>California</t>
  </si>
  <si>
    <t>Colorado</t>
  </si>
  <si>
    <t>Connecticut</t>
  </si>
  <si>
    <t>District of Columbia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</si>
  <si>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</si>
  <si>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</si>
  <si>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</si>
  <si>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</si>
  <si>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</si>
  <si>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</si>
  <si>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</si>
  <si>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</si>
  <si>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</si>
  <si>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</si>
  <si>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</si>
  <si>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</si>
  <si>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</si>
  <si>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</si>
  <si>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</si>
  <si>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</si>
  <si>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</si>
  <si>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</si>
  <si>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</si>
  <si>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</si>
  <si>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</si>
  <si>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</si>
  <si>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</si>
  <si>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</si>
  <si>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</si>
  <si>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</si>
  <si>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</si>
  <si>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</si>
  <si>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</si>
  <si>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</si>
  <si>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</si>
  <si>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</si>
  <si>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</si>
  <si>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</si>
  <si>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</si>
  <si>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</si>
  <si>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</si>
  <si>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</si>
  <si>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</si>
  <si>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</si>
  <si>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</si>
  <si>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</si>
  <si>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</si>
  <si>
    <t>State</t>
  </si>
  <si>
    <t>Reporting Period</t>
  </si>
  <si>
    <t>Total Medicaid Enrollment</t>
  </si>
  <si>
    <t>Beneficiaries with a Renewal Due</t>
  </si>
  <si>
    <t>Beneficiaries Whose Coverage Was Renewed (Total)</t>
  </si>
  <si>
    <t>Beneficiaries Disenrolled at Renewal (Total)</t>
  </si>
  <si>
    <t>Beneficiaries Determined Ineligible at Renewal</t>
  </si>
  <si>
    <t>Beneficiaries Disenrolled for Procedural Reasons at Renewal</t>
  </si>
  <si>
    <t>Beneficiaries with a Pending Renewal</t>
  </si>
  <si>
    <t>Ineligible Share</t>
  </si>
  <si>
    <t>Procedural Share</t>
  </si>
  <si>
    <t>BHP Enrollment</t>
  </si>
  <si>
    <t>United States</t>
  </si>
  <si>
    <t>Platform</t>
  </si>
  <si>
    <t>California </t>
  </si>
  <si>
    <t>Colorado </t>
  </si>
  <si>
    <t>Connecticut </t>
  </si>
  <si>
    <t xml:space="preserve">District Of Columbia </t>
  </si>
  <si>
    <t>Idaho </t>
  </si>
  <si>
    <t>Massachusetts </t>
  </si>
  <si>
    <t xml:space="preserve">Rhode Island </t>
  </si>
  <si>
    <t xml:space="preserve">Washington </t>
  </si>
  <si>
    <t>HC.gov</t>
  </si>
  <si>
    <t>SBE</t>
  </si>
  <si>
    <t>Number of Consumers with an Exchange Plan Selection</t>
  </si>
  <si>
    <t>New Consumers</t>
  </si>
  <si>
    <t>Total Re-enrollees</t>
  </si>
  <si>
    <t>Active Re-enrollees</t>
  </si>
  <si>
    <t>Automatic Re-enrollees</t>
  </si>
  <si>
    <t xml:space="preserve">Average Premium  </t>
  </si>
  <si>
    <t xml:space="preserve">Average Premium after APTC  </t>
  </si>
  <si>
    <t>-</t>
  </si>
  <si>
    <t>Consumers with APTC</t>
  </si>
  <si>
    <t>Average APTC among Consumers Receiving APTC</t>
  </si>
  <si>
    <t xml:space="preserve">Average Premium after APTC among Consumers Receiving APTC  </t>
  </si>
  <si>
    <t>Catastrophic</t>
  </si>
  <si>
    <t>Bronze</t>
  </si>
  <si>
    <t xml:space="preserve">Silver </t>
  </si>
  <si>
    <t>Gold</t>
  </si>
  <si>
    <t>Platinum</t>
  </si>
  <si>
    <t>OEP</t>
  </si>
  <si>
    <t>Total Medicaid Adult Enrollment</t>
  </si>
  <si>
    <t>Disenrolled Share</t>
  </si>
  <si>
    <t>Beneficiaries with a Renewal Initiated</t>
  </si>
  <si>
    <t>Year</t>
  </si>
  <si>
    <t>Month</t>
  </si>
  <si>
    <t>Effectuated Enrollment</t>
  </si>
  <si>
    <t>AK</t>
  </si>
  <si>
    <t>January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</si>
  <si>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</si>
  <si>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</si>
  <si>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</si>
  <si>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</si>
  <si>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</si>
  <si>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</si>
  <si>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</si>
  <si>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</si>
  <si>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</si>
  <si>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</si>
  <si>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</si>
  <si>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</si>
  <si>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</si>
  <si>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</si>
  <si>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</si>
  <si>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</si>
  <si>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</si>
  <si>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</si>
  <si>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</si>
  <si>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</si>
  <si>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</si>
  <si>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</si>
  <si>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</si>
  <si>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</si>
  <si>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</si>
  <si>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</si>
  <si>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</si>
  <si>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</si>
  <si>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</si>
  <si>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</si>
  <si>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</si>
  <si>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</si>
  <si>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</si>
  <si>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</si>
  <si>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</si>
  <si>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</si>
  <si>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</si>
  <si>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</si>
  <si>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</si>
  <si>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</si>
  <si>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</si>
  <si>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</si>
  <si>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</si>
  <si>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</si>
  <si>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</si>
  <si>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</si>
  <si>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</si>
  <si>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</si>
  <si>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</si>
  <si>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</si>
  <si>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February</t>
  </si>
  <si>
    <t>Beneficiaries Whose Coverage Was Renewed on an Ex Parte Basis</t>
  </si>
  <si>
    <t>Beneficiaries Whose Coverage Was Renewed based on a Renewal Form</t>
  </si>
  <si>
    <t>Total CHIP Enrollment</t>
  </si>
  <si>
    <t>Medicaid and CHIP Child Enrollment</t>
  </si>
  <si>
    <t>Medicaid Child Enrollment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</si>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</sst>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164" fontId="0" fillId="0" borderId="0" xfId="1" applyNumberFormat="1" applyFont="1"/>
    <xf numFmtId="14" fontId="0" fillId="0" borderId="0" xfId="0" applyNumberFormat="1"/>
    <xf numFmtId="165" fontId="0" fillId="0" borderId="0" xfId="3" applyNumberFormat="1" applyFont="1"/>
    <xf numFmtId="166" fontId="0" fillId="0" borderId="0" xfId="2" applyNumberFormat="1" applyFont="1"/>
    <xf numFmtId="164" fontId="2" fillId="0" borderId="0" xfId="1" applyNumberFormat="1" applyFont="1"/>
    <xf numFmtId="43" fontId="0" fillId="0" borderId="0" xfId="1" applyFont="1"/>
    <xf numFmtId="14" fontId="2" fillId="0" borderId="0" xfId="0" applyNumberFormat="1" applyFont="1"/>
    <xf numFmtId="165" fontId="2" fillId="0" borderId="0" xfId="3" applyNumberFormat="1" applyFont="1"/>
    <xf numFmtId="164" fontId="2" fillId="0" borderId="0" xfId="0" applyNumberFormat="1" applyFont="1"/>
    <xf numFmtId="165" fontId="1" fillId="0" borderId="0" xfId="3" applyNumberFormat="1" applyFont="1"/>
    <xf numFmtId="0" fontId="0" fillId="0" borderId="0" xfId="1" applyNumberFormat="1" applyFont="1"/>
    <xf numFmtId="9" fontId="2" fillId="0" borderId="0" xfId="3" applyFont="1"/>
    <xf numFmtId="9" fontId="1" fillId="0" borderId="0" xfId="3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64A2A-D604-4430-8789-DEB8BBE451DA}">
  <dimension ref="A1:P365"/>
  <sheetViews>
    <sheetView tabSelected="1" topLeftCell="A331" workbookViewId="0">
      <selection activeCell="D358" sqref="D358"/>
    </sheetView>
  </sheetViews>
  <sheetFormatPr defaultRowHeight="14.4" x14ac:dyDescent="0.3"/>
  <cols>
    <col min="1" max="1" width="18.6640625" bestFit="1" customWidth="1"/>
    <col min="2" max="2" width="16.33203125" bestFit="1" customWidth="1"/>
    <col min="3" max="3" width="24.88671875" bestFit="1" customWidth="1"/>
    <col min="4" max="4" width="30.33203125" bestFit="1" customWidth="1"/>
    <col min="5" max="5" width="35.5546875" bestFit="1" customWidth="1"/>
    <col min="6" max="6" width="31.5546875" bestFit="1" customWidth="1"/>
    <col min="7" max="7" width="49.33203125" bestFit="1" customWidth="1"/>
    <col min="8" max="8" width="61.5546875" bestFit="1" customWidth="1"/>
    <col min="9" max="9" width="66.6640625" bestFit="1" customWidth="1"/>
    <col min="10" max="10" width="41.44140625" bestFit="1" customWidth="1"/>
    <col min="11" max="11" width="17.44140625" bestFit="1" customWidth="1"/>
    <col min="12" max="12" width="44.44140625" bestFit="1" customWidth="1"/>
    <col min="13" max="13" width="15.109375" bestFit="1" customWidth="1"/>
    <col min="14" max="14" width="57" bestFit="1" customWidth="1"/>
    <col min="15" max="15" width="16.44140625" bestFit="1" customWidth="1"/>
    <col min="16" max="16" width="35.33203125" bestFit="1" customWidth="1"/>
  </cols>
  <sheetData>
    <row r="1" spans="1:16" s="1" customFormat="1" x14ac:dyDescent="0.3">
      <c r="A1" s="1" t="s">
        <v>51</v>
      </c>
      <c r="B1" s="1" t="s">
        <v>52</v>
      </c>
      <c r="C1" s="1" t="s">
        <v>53</v>
      </c>
      <c r="D1" s="1" t="s">
        <v>92</v>
      </c>
      <c r="E1" s="1" t="s">
        <v>94</v>
      </c>
      <c r="F1" s="1" t="s">
        <v>54</v>
      </c>
      <c r="G1" s="1" t="s">
        <v>55</v>
      </c>
      <c r="H1" s="1" t="s">
        <v>151</v>
      </c>
      <c r="I1" s="1" t="s">
        <v>152</v>
      </c>
      <c r="J1" s="1" t="s">
        <v>56</v>
      </c>
      <c r="K1" s="1" t="s">
        <v>93</v>
      </c>
      <c r="L1" s="1" t="s">
        <v>57</v>
      </c>
      <c r="M1" s="1" t="s">
        <v>60</v>
      </c>
      <c r="N1" s="1" t="s">
        <v>58</v>
      </c>
      <c r="O1" s="1" t="s">
        <v>61</v>
      </c>
      <c r="P1" s="1" t="s">
        <v>59</v>
      </c>
    </row>
    <row r="2" spans="1:16" x14ac:dyDescent="0.3">
      <c r="A2" t="s">
        <v>0</v>
      </c>
      <c r="B2" s="3">
        <v>45992</v>
      </c>
      <c r="C2" s="2">
        <v>197629</v>
      </c>
      <c r="D2" s="2">
        <v>125369</v>
      </c>
      <c r="E2" s="2">
        <v>12871</v>
      </c>
      <c r="F2" s="2">
        <v>17644</v>
      </c>
      <c r="G2" s="2">
        <v>8791</v>
      </c>
      <c r="H2" s="2">
        <v>5547</v>
      </c>
      <c r="I2" s="2">
        <v>3244</v>
      </c>
      <c r="J2" s="2">
        <v>3195</v>
      </c>
      <c r="K2" s="4">
        <f>J2/F2</f>
        <v>0.18108138744048968</v>
      </c>
      <c r="L2" s="2">
        <v>2149</v>
      </c>
      <c r="M2" s="4">
        <f>L2/J2</f>
        <v>0.67261345852895149</v>
      </c>
      <c r="N2" s="2">
        <v>1046</v>
      </c>
      <c r="O2" s="4">
        <f t="shared" ref="O2:O33" si="0">N2/J2</f>
        <v>0.32738654147104851</v>
      </c>
      <c r="P2" s="2">
        <v>5658</v>
      </c>
    </row>
    <row r="3" spans="1:16" x14ac:dyDescent="0.3">
      <c r="A3" t="s">
        <v>1</v>
      </c>
      <c r="B3" s="3">
        <v>45992</v>
      </c>
      <c r="C3" s="2">
        <v>745861</v>
      </c>
      <c r="D3" s="2">
        <v>267204</v>
      </c>
      <c r="E3" s="2">
        <v>105413</v>
      </c>
      <c r="F3" s="2">
        <v>112157</v>
      </c>
      <c r="G3" s="2">
        <v>79102</v>
      </c>
      <c r="H3" s="2">
        <v>46978</v>
      </c>
      <c r="I3" s="2">
        <v>32124</v>
      </c>
      <c r="J3" s="2">
        <v>31038</v>
      </c>
      <c r="K3" s="4">
        <f t="shared" ref="K3:K66" si="1">J3/F3</f>
        <v>0.27673707392316127</v>
      </c>
      <c r="L3" s="2">
        <v>20664</v>
      </c>
      <c r="M3" s="4">
        <f t="shared" ref="M3:M33" si="2">L3/J3</f>
        <v>0.66576454668470908</v>
      </c>
      <c r="N3" s="2">
        <v>10374</v>
      </c>
      <c r="O3" s="4">
        <f t="shared" si="0"/>
        <v>0.33423545331529092</v>
      </c>
      <c r="P3" s="2">
        <v>2017</v>
      </c>
    </row>
    <row r="4" spans="1:16" x14ac:dyDescent="0.3">
      <c r="A4" t="s">
        <v>2</v>
      </c>
      <c r="B4" s="3">
        <v>45992</v>
      </c>
      <c r="C4" s="2">
        <v>717527</v>
      </c>
      <c r="D4" s="2">
        <v>386600</v>
      </c>
      <c r="E4" s="2">
        <v>50323</v>
      </c>
      <c r="F4" s="2">
        <v>54096</v>
      </c>
      <c r="G4" s="2">
        <v>46396</v>
      </c>
      <c r="H4" s="2">
        <v>41824</v>
      </c>
      <c r="I4" s="2">
        <v>4572</v>
      </c>
      <c r="J4" s="2">
        <v>7615</v>
      </c>
      <c r="K4" s="4">
        <f t="shared" si="1"/>
        <v>0.14076826382727003</v>
      </c>
      <c r="L4" s="2">
        <v>1423</v>
      </c>
      <c r="M4" s="4">
        <f t="shared" si="2"/>
        <v>0.18686802363755745</v>
      </c>
      <c r="N4" s="2">
        <v>6192</v>
      </c>
      <c r="O4" s="4">
        <f t="shared" si="0"/>
        <v>0.8131319763624425</v>
      </c>
      <c r="P4" s="2">
        <v>85</v>
      </c>
    </row>
    <row r="5" spans="1:16" x14ac:dyDescent="0.3">
      <c r="A5" t="s">
        <v>3</v>
      </c>
      <c r="B5" s="3">
        <v>45992</v>
      </c>
      <c r="C5" s="2">
        <v>1565458</v>
      </c>
      <c r="D5" s="2">
        <v>943470</v>
      </c>
      <c r="E5" s="2">
        <v>108403</v>
      </c>
      <c r="F5" s="2">
        <v>97996</v>
      </c>
      <c r="G5" s="2">
        <v>64962</v>
      </c>
      <c r="H5" s="2">
        <v>58263</v>
      </c>
      <c r="I5" s="2">
        <v>6699</v>
      </c>
      <c r="J5" s="2">
        <v>23875</v>
      </c>
      <c r="K5" s="4">
        <f t="shared" si="1"/>
        <v>0.24363239315890445</v>
      </c>
      <c r="L5" s="2">
        <v>6264</v>
      </c>
      <c r="M5" s="4">
        <f t="shared" si="2"/>
        <v>0.26236649214659685</v>
      </c>
      <c r="N5" s="2">
        <v>17611</v>
      </c>
      <c r="O5" s="4">
        <f t="shared" si="0"/>
        <v>0.73763350785340309</v>
      </c>
      <c r="P5" s="2">
        <v>9159</v>
      </c>
    </row>
    <row r="6" spans="1:16" x14ac:dyDescent="0.3">
      <c r="A6" t="s">
        <v>4</v>
      </c>
      <c r="B6" s="3">
        <v>45992</v>
      </c>
      <c r="C6" s="2">
        <v>11420961</v>
      </c>
      <c r="D6" s="2">
        <v>8046081</v>
      </c>
      <c r="E6" s="2">
        <v>1145818</v>
      </c>
      <c r="F6" s="2">
        <v>1097366</v>
      </c>
      <c r="G6" s="2">
        <v>657315</v>
      </c>
      <c r="H6" s="2">
        <v>479800</v>
      </c>
      <c r="I6" s="2">
        <v>177515</v>
      </c>
      <c r="J6" s="2">
        <v>229448</v>
      </c>
      <c r="K6" s="4">
        <f t="shared" si="1"/>
        <v>0.20908976585751701</v>
      </c>
      <c r="L6" s="2">
        <v>19468</v>
      </c>
      <c r="M6" s="4">
        <f t="shared" si="2"/>
        <v>8.4847111328056904E-2</v>
      </c>
      <c r="N6" s="2">
        <v>209980</v>
      </c>
      <c r="O6" s="4">
        <f t="shared" si="0"/>
        <v>0.91515288867194311</v>
      </c>
      <c r="P6" s="2">
        <v>210603</v>
      </c>
    </row>
    <row r="7" spans="1:16" x14ac:dyDescent="0.3">
      <c r="A7" t="s">
        <v>5</v>
      </c>
      <c r="B7" s="3">
        <v>45992</v>
      </c>
      <c r="C7" s="2">
        <v>1044247</v>
      </c>
      <c r="D7" s="2">
        <v>660229</v>
      </c>
      <c r="E7" s="2">
        <v>89314</v>
      </c>
      <c r="F7" s="2">
        <v>100564</v>
      </c>
      <c r="G7" s="2">
        <v>81073</v>
      </c>
      <c r="H7" s="2">
        <v>61959</v>
      </c>
      <c r="I7" s="2">
        <v>19114</v>
      </c>
      <c r="J7" s="2">
        <v>16445</v>
      </c>
      <c r="K7" s="4">
        <f t="shared" si="1"/>
        <v>0.16352770375084524</v>
      </c>
      <c r="L7" s="2">
        <v>8610</v>
      </c>
      <c r="M7" s="4">
        <f t="shared" si="2"/>
        <v>0.52356339312861055</v>
      </c>
      <c r="N7" s="2">
        <v>7835</v>
      </c>
      <c r="O7" s="4">
        <f t="shared" si="0"/>
        <v>0.4764366068713895</v>
      </c>
      <c r="P7" s="2">
        <v>3046</v>
      </c>
    </row>
    <row r="8" spans="1:16" x14ac:dyDescent="0.3">
      <c r="A8" t="s">
        <v>6</v>
      </c>
      <c r="B8" s="3">
        <v>45992</v>
      </c>
      <c r="C8" s="2">
        <v>880562</v>
      </c>
      <c r="D8" s="2">
        <v>540766</v>
      </c>
      <c r="E8" s="2">
        <v>82990</v>
      </c>
      <c r="F8" s="2">
        <v>104099</v>
      </c>
      <c r="G8" s="2">
        <v>90989</v>
      </c>
      <c r="H8" s="2">
        <v>86806</v>
      </c>
      <c r="I8" s="2">
        <v>4183</v>
      </c>
      <c r="J8" s="2">
        <v>8925</v>
      </c>
      <c r="K8" s="4">
        <f t="shared" si="1"/>
        <v>8.5735693906761834E-2</v>
      </c>
      <c r="L8" s="2">
        <v>4481</v>
      </c>
      <c r="M8" s="4">
        <f t="shared" si="2"/>
        <v>0.50207282913165263</v>
      </c>
      <c r="N8" s="2">
        <v>4444</v>
      </c>
      <c r="O8" s="4">
        <f t="shared" si="0"/>
        <v>0.49792717086834731</v>
      </c>
      <c r="P8" s="2">
        <v>4185</v>
      </c>
    </row>
    <row r="9" spans="1:16" x14ac:dyDescent="0.3">
      <c r="A9" t="s">
        <v>7</v>
      </c>
      <c r="B9" s="3">
        <v>45992</v>
      </c>
      <c r="C9" s="2">
        <v>240649</v>
      </c>
      <c r="D9" s="2">
        <v>162692</v>
      </c>
      <c r="E9" s="2">
        <v>19540</v>
      </c>
      <c r="F9" s="2">
        <v>33408</v>
      </c>
      <c r="G9" s="2">
        <v>29732</v>
      </c>
      <c r="H9" s="2">
        <v>28829</v>
      </c>
      <c r="I9" s="2">
        <v>903</v>
      </c>
      <c r="J9" s="2">
        <v>2607</v>
      </c>
      <c r="K9" s="4">
        <f t="shared" si="1"/>
        <v>7.803520114942529E-2</v>
      </c>
      <c r="L9" s="2">
        <v>104</v>
      </c>
      <c r="M9" s="4">
        <f t="shared" si="2"/>
        <v>3.9892596854622174E-2</v>
      </c>
      <c r="N9" s="2">
        <v>2503</v>
      </c>
      <c r="O9" s="4">
        <f t="shared" si="0"/>
        <v>0.96010740314537779</v>
      </c>
      <c r="P9" s="2">
        <v>1069</v>
      </c>
    </row>
    <row r="10" spans="1:16" x14ac:dyDescent="0.3">
      <c r="A10" t="s">
        <v>8</v>
      </c>
      <c r="B10" s="3">
        <v>45992</v>
      </c>
      <c r="C10" s="2">
        <v>226467</v>
      </c>
      <c r="D10" s="2">
        <v>133749</v>
      </c>
      <c r="E10" s="2">
        <v>16538</v>
      </c>
      <c r="F10" s="2">
        <v>18591</v>
      </c>
      <c r="G10" s="2">
        <v>12191</v>
      </c>
      <c r="H10" s="2">
        <v>7698</v>
      </c>
      <c r="I10" s="2">
        <v>4493</v>
      </c>
      <c r="J10" s="2">
        <v>6079</v>
      </c>
      <c r="K10" s="4">
        <f t="shared" si="1"/>
        <v>0.32698617610671832</v>
      </c>
      <c r="L10" s="2">
        <v>1652</v>
      </c>
      <c r="M10" s="4">
        <f t="shared" si="2"/>
        <v>0.27175522289850307</v>
      </c>
      <c r="N10" s="2">
        <v>4427</v>
      </c>
      <c r="O10" s="4">
        <f t="shared" si="0"/>
        <v>0.72824477710149693</v>
      </c>
      <c r="P10" s="2">
        <v>321</v>
      </c>
    </row>
    <row r="11" spans="1:16" x14ac:dyDescent="0.3">
      <c r="A11" t="s">
        <v>9</v>
      </c>
      <c r="B11" s="3">
        <v>45992</v>
      </c>
      <c r="C11" s="2">
        <v>3431155</v>
      </c>
      <c r="D11" s="2">
        <v>1275071</v>
      </c>
      <c r="E11" s="2">
        <v>195467</v>
      </c>
      <c r="F11" s="2">
        <v>165970</v>
      </c>
      <c r="G11" s="2">
        <v>105505</v>
      </c>
      <c r="H11" s="2">
        <v>39911</v>
      </c>
      <c r="I11" s="2">
        <v>65594</v>
      </c>
      <c r="J11" s="2">
        <v>36049</v>
      </c>
      <c r="K11" s="4">
        <f t="shared" si="1"/>
        <v>0.21720190395854672</v>
      </c>
      <c r="L11" s="2">
        <v>15089</v>
      </c>
      <c r="M11" s="4">
        <f t="shared" si="2"/>
        <v>0.41856916974118563</v>
      </c>
      <c r="N11" s="2">
        <v>20960</v>
      </c>
      <c r="O11" s="4">
        <f t="shared" si="0"/>
        <v>0.58143083025881437</v>
      </c>
      <c r="P11" s="2">
        <v>24416</v>
      </c>
    </row>
    <row r="12" spans="1:16" x14ac:dyDescent="0.3">
      <c r="A12" t="s">
        <v>10</v>
      </c>
      <c r="B12" s="3">
        <v>45992</v>
      </c>
      <c r="C12" s="2">
        <v>1669742</v>
      </c>
      <c r="D12" s="2">
        <v>547629</v>
      </c>
      <c r="E12" s="2">
        <v>120576</v>
      </c>
      <c r="F12" s="2">
        <v>211117</v>
      </c>
      <c r="G12" s="2">
        <v>137407</v>
      </c>
      <c r="H12" s="2">
        <v>109618</v>
      </c>
      <c r="I12" s="2">
        <v>27789</v>
      </c>
      <c r="J12" s="2">
        <v>58649</v>
      </c>
      <c r="K12" s="4">
        <f t="shared" si="1"/>
        <v>0.27780330338153725</v>
      </c>
      <c r="L12" s="2">
        <v>30178</v>
      </c>
      <c r="M12" s="4">
        <f t="shared" si="2"/>
        <v>0.51455267779501779</v>
      </c>
      <c r="N12" s="2">
        <v>28471</v>
      </c>
      <c r="O12" s="4">
        <f t="shared" si="0"/>
        <v>0.48544732220498216</v>
      </c>
      <c r="P12" s="2">
        <v>15061</v>
      </c>
    </row>
    <row r="13" spans="1:16" x14ac:dyDescent="0.3">
      <c r="A13" t="s">
        <v>11</v>
      </c>
      <c r="B13" s="3">
        <v>45992</v>
      </c>
      <c r="C13" s="2">
        <v>363321</v>
      </c>
      <c r="D13" s="2">
        <v>235106</v>
      </c>
      <c r="E13" s="2">
        <v>26889</v>
      </c>
      <c r="F13" s="2">
        <v>40422</v>
      </c>
      <c r="G13" s="2">
        <v>35240</v>
      </c>
      <c r="H13" s="2">
        <v>29294</v>
      </c>
      <c r="I13" s="2">
        <v>5946</v>
      </c>
      <c r="J13" s="2">
        <v>4277</v>
      </c>
      <c r="K13" s="4">
        <f t="shared" si="1"/>
        <v>0.10580871802483796</v>
      </c>
      <c r="L13" s="2">
        <v>750</v>
      </c>
      <c r="M13" s="4">
        <f t="shared" si="2"/>
        <v>0.17535655833528174</v>
      </c>
      <c r="N13" s="2">
        <v>3527</v>
      </c>
      <c r="O13" s="4">
        <f t="shared" si="0"/>
        <v>0.82464344166471826</v>
      </c>
      <c r="P13" s="2">
        <v>905</v>
      </c>
    </row>
    <row r="14" spans="1:16" x14ac:dyDescent="0.3">
      <c r="A14" t="s">
        <v>12</v>
      </c>
      <c r="B14" s="3">
        <v>45992</v>
      </c>
      <c r="C14" s="2">
        <v>580449</v>
      </c>
      <c r="D14" s="2">
        <v>335630</v>
      </c>
      <c r="E14" s="2">
        <v>56221</v>
      </c>
      <c r="F14" s="2">
        <v>42878</v>
      </c>
      <c r="G14" s="2">
        <v>33127</v>
      </c>
      <c r="H14" s="2">
        <v>25294</v>
      </c>
      <c r="I14" s="2">
        <v>7833</v>
      </c>
      <c r="J14" s="2">
        <v>6813</v>
      </c>
      <c r="K14" s="4">
        <f t="shared" si="1"/>
        <v>0.15889267223284667</v>
      </c>
      <c r="L14" s="2">
        <v>1301</v>
      </c>
      <c r="M14" s="4">
        <f t="shared" si="2"/>
        <v>0.1909584617642742</v>
      </c>
      <c r="N14" s="2">
        <v>5512</v>
      </c>
      <c r="O14" s="4">
        <f t="shared" si="0"/>
        <v>0.80904153823572578</v>
      </c>
      <c r="P14" s="2">
        <v>2938</v>
      </c>
    </row>
    <row r="15" spans="1:16" x14ac:dyDescent="0.3">
      <c r="A15" t="s">
        <v>13</v>
      </c>
      <c r="B15" s="3">
        <v>45992</v>
      </c>
      <c r="C15" s="2">
        <v>291590</v>
      </c>
      <c r="D15" s="2">
        <v>159518</v>
      </c>
      <c r="E15" s="2">
        <v>18161</v>
      </c>
      <c r="F15" s="2">
        <v>17312</v>
      </c>
      <c r="G15" s="2">
        <v>11501</v>
      </c>
      <c r="H15" s="2">
        <v>7914</v>
      </c>
      <c r="I15" s="2">
        <v>3587</v>
      </c>
      <c r="J15" s="2">
        <v>5286</v>
      </c>
      <c r="K15" s="4">
        <f t="shared" si="1"/>
        <v>0.30533733826247689</v>
      </c>
      <c r="L15" s="2">
        <v>850</v>
      </c>
      <c r="M15" s="4">
        <f t="shared" si="2"/>
        <v>0.16080211880438894</v>
      </c>
      <c r="N15" s="2">
        <v>4436</v>
      </c>
      <c r="O15" s="4">
        <f t="shared" si="0"/>
        <v>0.83919788119561101</v>
      </c>
      <c r="P15" s="2">
        <v>525</v>
      </c>
    </row>
    <row r="16" spans="1:16" x14ac:dyDescent="0.3">
      <c r="A16" t="s">
        <v>14</v>
      </c>
      <c r="B16" s="3">
        <v>45992</v>
      </c>
      <c r="C16" s="2">
        <v>2681804</v>
      </c>
      <c r="D16" s="2">
        <v>1648319</v>
      </c>
      <c r="E16" s="2">
        <v>216487</v>
      </c>
      <c r="F16" s="2">
        <v>222861</v>
      </c>
      <c r="G16" s="2">
        <v>169022</v>
      </c>
      <c r="H16" s="2">
        <v>143827</v>
      </c>
      <c r="I16" s="2">
        <v>25195</v>
      </c>
      <c r="J16" s="2">
        <v>31825</v>
      </c>
      <c r="K16" s="4">
        <f t="shared" si="1"/>
        <v>0.14280201560614014</v>
      </c>
      <c r="L16" s="2">
        <v>5472</v>
      </c>
      <c r="M16" s="4">
        <f t="shared" si="2"/>
        <v>0.17194029850746267</v>
      </c>
      <c r="N16" s="2">
        <v>26353</v>
      </c>
      <c r="O16" s="4">
        <f t="shared" si="0"/>
        <v>0.82805970149253727</v>
      </c>
      <c r="P16" s="2">
        <v>22014</v>
      </c>
    </row>
    <row r="17" spans="1:16" x14ac:dyDescent="0.3">
      <c r="A17" t="s">
        <v>15</v>
      </c>
      <c r="B17" s="3">
        <v>45992</v>
      </c>
      <c r="C17" s="2">
        <v>1389092</v>
      </c>
      <c r="D17" s="2">
        <v>808556</v>
      </c>
      <c r="E17" s="2">
        <v>108259</v>
      </c>
      <c r="F17" s="2">
        <v>119279</v>
      </c>
      <c r="G17" s="2">
        <v>33556</v>
      </c>
      <c r="H17" s="2">
        <v>22621</v>
      </c>
      <c r="I17" s="2">
        <v>10935</v>
      </c>
      <c r="J17" s="2">
        <v>55803</v>
      </c>
      <c r="K17" s="4">
        <f t="shared" si="1"/>
        <v>0.46783591411732156</v>
      </c>
      <c r="L17" s="2">
        <v>1679</v>
      </c>
      <c r="M17" s="4">
        <f t="shared" si="2"/>
        <v>3.0087988100998154E-2</v>
      </c>
      <c r="N17" s="2">
        <v>54124</v>
      </c>
      <c r="O17" s="4">
        <f t="shared" si="0"/>
        <v>0.96991201189900189</v>
      </c>
      <c r="P17" s="2">
        <v>29920</v>
      </c>
    </row>
    <row r="18" spans="1:16" x14ac:dyDescent="0.3">
      <c r="A18" t="s">
        <v>16</v>
      </c>
      <c r="B18" s="3">
        <v>45992</v>
      </c>
      <c r="C18" s="2">
        <v>325529</v>
      </c>
      <c r="D18" s="2">
        <v>122103</v>
      </c>
      <c r="E18" s="2">
        <v>33796</v>
      </c>
      <c r="F18" s="2">
        <v>30480</v>
      </c>
      <c r="G18" s="2">
        <v>24403</v>
      </c>
      <c r="H18" s="2">
        <v>16277</v>
      </c>
      <c r="I18" s="2">
        <v>8126</v>
      </c>
      <c r="J18" s="2">
        <v>4796</v>
      </c>
      <c r="K18" s="4">
        <f t="shared" si="1"/>
        <v>0.15734908136482939</v>
      </c>
      <c r="L18" s="2">
        <v>2800</v>
      </c>
      <c r="M18" s="4">
        <f t="shared" si="2"/>
        <v>0.58381984987489577</v>
      </c>
      <c r="N18" s="2">
        <v>1996</v>
      </c>
      <c r="O18" s="4">
        <f t="shared" si="0"/>
        <v>0.41618015012510423</v>
      </c>
      <c r="P18" s="2">
        <v>1281</v>
      </c>
    </row>
    <row r="19" spans="1:16" x14ac:dyDescent="0.3">
      <c r="A19" t="s">
        <v>17</v>
      </c>
      <c r="B19" s="3">
        <v>45992</v>
      </c>
      <c r="C19" s="2">
        <v>1188548</v>
      </c>
      <c r="D19" s="2">
        <v>719751</v>
      </c>
      <c r="E19" s="2">
        <v>153237</v>
      </c>
      <c r="F19" s="2">
        <v>66573</v>
      </c>
      <c r="G19" s="2">
        <v>59256</v>
      </c>
      <c r="H19" s="2">
        <v>54962</v>
      </c>
      <c r="I19" s="2">
        <v>4294</v>
      </c>
      <c r="J19" s="2">
        <v>7003</v>
      </c>
      <c r="K19" s="4">
        <f t="shared" si="1"/>
        <v>0.10519279587820889</v>
      </c>
      <c r="L19" s="2">
        <v>1773</v>
      </c>
      <c r="M19" s="4">
        <f t="shared" si="2"/>
        <v>0.25317720976724262</v>
      </c>
      <c r="N19" s="2">
        <v>5230</v>
      </c>
      <c r="O19" s="4">
        <f t="shared" si="0"/>
        <v>0.74682279023275744</v>
      </c>
      <c r="P19" s="2">
        <v>314</v>
      </c>
    </row>
    <row r="20" spans="1:16" x14ac:dyDescent="0.3">
      <c r="A20" t="s">
        <v>18</v>
      </c>
      <c r="B20" s="3">
        <v>45992</v>
      </c>
      <c r="C20" s="2">
        <v>1257317</v>
      </c>
      <c r="D20" s="2">
        <v>715302</v>
      </c>
      <c r="E20" s="2">
        <v>143411</v>
      </c>
      <c r="F20" s="2">
        <v>115141</v>
      </c>
      <c r="G20" s="2">
        <v>97611</v>
      </c>
      <c r="H20" s="2">
        <v>54061</v>
      </c>
      <c r="I20" s="2">
        <v>43550</v>
      </c>
      <c r="J20" s="2">
        <v>5306</v>
      </c>
      <c r="K20" s="4">
        <f t="shared" si="1"/>
        <v>4.6082629124291084E-2</v>
      </c>
      <c r="L20" s="2">
        <v>2649</v>
      </c>
      <c r="M20" s="4">
        <f t="shared" si="2"/>
        <v>0.49924613644930266</v>
      </c>
      <c r="N20" s="2">
        <v>2657</v>
      </c>
      <c r="O20" s="4">
        <f t="shared" si="0"/>
        <v>0.50075386355069729</v>
      </c>
      <c r="P20" s="2">
        <v>12224</v>
      </c>
    </row>
    <row r="21" spans="1:16" x14ac:dyDescent="0.3">
      <c r="A21" t="s">
        <v>19</v>
      </c>
      <c r="B21" s="3">
        <v>45992</v>
      </c>
      <c r="C21" s="2">
        <v>1389522</v>
      </c>
      <c r="D21" s="2">
        <v>894026</v>
      </c>
      <c r="E21" s="2">
        <v>137926</v>
      </c>
      <c r="F21" s="2">
        <v>111210</v>
      </c>
      <c r="G21" s="2">
        <v>87370</v>
      </c>
      <c r="H21" s="2">
        <v>72961</v>
      </c>
      <c r="I21" s="2">
        <v>14409</v>
      </c>
      <c r="J21" s="2">
        <v>17588</v>
      </c>
      <c r="K21" s="4">
        <f t="shared" si="1"/>
        <v>0.15815124539160147</v>
      </c>
      <c r="L21" s="2">
        <v>4948</v>
      </c>
      <c r="M21" s="4">
        <f t="shared" si="2"/>
        <v>0.28132817830338869</v>
      </c>
      <c r="N21" s="2">
        <v>12640</v>
      </c>
      <c r="O21" s="4">
        <f t="shared" si="0"/>
        <v>0.71867182169661137</v>
      </c>
      <c r="P21" s="2">
        <v>6252</v>
      </c>
    </row>
    <row r="22" spans="1:16" x14ac:dyDescent="0.3">
      <c r="A22" t="s">
        <v>20</v>
      </c>
      <c r="B22" s="3">
        <v>45992</v>
      </c>
      <c r="C22" s="2">
        <v>1200810</v>
      </c>
      <c r="D22" s="2">
        <v>729209</v>
      </c>
      <c r="E22" s="2">
        <v>96211</v>
      </c>
      <c r="F22" s="2">
        <v>115503</v>
      </c>
      <c r="G22" s="2">
        <v>79057</v>
      </c>
      <c r="H22" s="2">
        <v>60214</v>
      </c>
      <c r="I22" s="2">
        <v>18843</v>
      </c>
      <c r="J22" s="2">
        <v>32001</v>
      </c>
      <c r="K22" s="4">
        <f t="shared" si="1"/>
        <v>0.2770577387600322</v>
      </c>
      <c r="L22" s="2">
        <v>3751</v>
      </c>
      <c r="M22" s="4">
        <f t="shared" si="2"/>
        <v>0.11721508702853035</v>
      </c>
      <c r="N22" s="2">
        <v>28250</v>
      </c>
      <c r="O22" s="4">
        <f t="shared" si="0"/>
        <v>0.88278491297146966</v>
      </c>
      <c r="P22" s="2">
        <v>4445</v>
      </c>
    </row>
    <row r="23" spans="1:16" x14ac:dyDescent="0.3">
      <c r="A23" t="s">
        <v>21</v>
      </c>
      <c r="B23" s="3">
        <v>45992</v>
      </c>
      <c r="C23" s="2">
        <v>310609</v>
      </c>
      <c r="D23" s="2">
        <v>198483</v>
      </c>
      <c r="E23" s="2">
        <v>31694</v>
      </c>
      <c r="F23" s="2">
        <v>32009</v>
      </c>
      <c r="G23" s="2">
        <v>25441</v>
      </c>
      <c r="H23" s="2">
        <v>24199</v>
      </c>
      <c r="I23" s="2">
        <v>1242</v>
      </c>
      <c r="J23" s="2">
        <v>3031</v>
      </c>
      <c r="K23" s="4">
        <f t="shared" si="1"/>
        <v>9.4692117841856979E-2</v>
      </c>
      <c r="L23" s="2">
        <v>345</v>
      </c>
      <c r="M23" s="4">
        <f t="shared" si="2"/>
        <v>0.11382382052128011</v>
      </c>
      <c r="N23" s="2">
        <v>2686</v>
      </c>
      <c r="O23" s="4">
        <f t="shared" si="0"/>
        <v>0.88617617947871985</v>
      </c>
      <c r="P23" s="2">
        <v>3537</v>
      </c>
    </row>
    <row r="24" spans="1:16" x14ac:dyDescent="0.3">
      <c r="A24" t="s">
        <v>22</v>
      </c>
      <c r="B24" s="3">
        <v>45992</v>
      </c>
      <c r="C24" s="2">
        <v>2105347</v>
      </c>
      <c r="D24" s="2">
        <v>1386303</v>
      </c>
      <c r="E24" s="2">
        <v>178917</v>
      </c>
      <c r="F24" s="2">
        <v>182893</v>
      </c>
      <c r="G24" s="2">
        <v>133882</v>
      </c>
      <c r="H24" s="2">
        <v>103847</v>
      </c>
      <c r="I24" s="2">
        <v>30035</v>
      </c>
      <c r="J24" s="2">
        <v>32583</v>
      </c>
      <c r="K24" s="4">
        <f t="shared" si="1"/>
        <v>0.17815334649221129</v>
      </c>
      <c r="L24" s="2">
        <v>3153</v>
      </c>
      <c r="M24" s="4">
        <f t="shared" si="2"/>
        <v>9.6768253383666333E-2</v>
      </c>
      <c r="N24" s="2">
        <v>29430</v>
      </c>
      <c r="O24" s="4">
        <f t="shared" si="0"/>
        <v>0.90323174661633365</v>
      </c>
      <c r="P24" s="2">
        <v>16428</v>
      </c>
    </row>
    <row r="25" spans="1:16" x14ac:dyDescent="0.3">
      <c r="A25" t="s">
        <v>23</v>
      </c>
      <c r="B25" s="3">
        <v>45992</v>
      </c>
      <c r="C25" s="2">
        <v>1143475</v>
      </c>
      <c r="D25" s="2">
        <v>547586</v>
      </c>
      <c r="E25" s="2">
        <v>89988</v>
      </c>
      <c r="F25" s="2">
        <v>112113</v>
      </c>
      <c r="G25" s="2">
        <v>90599</v>
      </c>
      <c r="H25" s="2">
        <v>80079</v>
      </c>
      <c r="I25" s="2">
        <v>10520</v>
      </c>
      <c r="J25" s="2">
        <v>21514</v>
      </c>
      <c r="K25" s="4">
        <f t="shared" si="1"/>
        <v>0.19189567668334626</v>
      </c>
      <c r="L25" s="2">
        <v>2913</v>
      </c>
      <c r="M25" s="4">
        <f t="shared" si="2"/>
        <v>0.13540020451798829</v>
      </c>
      <c r="N25" s="2">
        <v>18601</v>
      </c>
      <c r="O25" s="4">
        <f t="shared" si="0"/>
        <v>0.86459979548201171</v>
      </c>
      <c r="P25" s="2">
        <v>0</v>
      </c>
    </row>
    <row r="26" spans="1:16" x14ac:dyDescent="0.3">
      <c r="A26" t="s">
        <v>24</v>
      </c>
      <c r="B26" s="3">
        <v>45992</v>
      </c>
      <c r="C26" s="2">
        <v>1116805</v>
      </c>
      <c r="D26" s="2">
        <v>678096</v>
      </c>
      <c r="E26" s="2">
        <v>102702</v>
      </c>
      <c r="F26" s="2">
        <v>94822</v>
      </c>
      <c r="G26" s="2">
        <v>57764</v>
      </c>
      <c r="H26" s="2">
        <v>53425</v>
      </c>
      <c r="I26" s="2">
        <v>4339</v>
      </c>
      <c r="J26" s="2">
        <v>17967</v>
      </c>
      <c r="K26" s="4">
        <f t="shared" si="1"/>
        <v>0.18948134399190061</v>
      </c>
      <c r="L26" s="2">
        <v>1841</v>
      </c>
      <c r="M26" s="4">
        <f t="shared" si="2"/>
        <v>0.10246563143540936</v>
      </c>
      <c r="N26" s="2">
        <v>16126</v>
      </c>
      <c r="O26" s="4">
        <f t="shared" si="0"/>
        <v>0.89753436856459068</v>
      </c>
      <c r="P26" s="2">
        <v>19091</v>
      </c>
    </row>
    <row r="27" spans="1:16" x14ac:dyDescent="0.3">
      <c r="A27" t="s">
        <v>25</v>
      </c>
      <c r="B27" s="3">
        <v>45992</v>
      </c>
      <c r="C27" s="2">
        <v>504645</v>
      </c>
      <c r="D27" s="2">
        <v>195304</v>
      </c>
      <c r="E27" s="2">
        <v>45546</v>
      </c>
      <c r="F27" s="2">
        <v>35583</v>
      </c>
      <c r="G27" s="2">
        <v>29347</v>
      </c>
      <c r="H27" s="2">
        <v>19258</v>
      </c>
      <c r="I27" s="2">
        <v>10089</v>
      </c>
      <c r="J27" s="2">
        <v>6211</v>
      </c>
      <c r="K27" s="4">
        <f t="shared" si="1"/>
        <v>0.17454964449315685</v>
      </c>
      <c r="L27" s="2">
        <v>1388</v>
      </c>
      <c r="M27" s="4">
        <f t="shared" si="2"/>
        <v>0.22347448075994203</v>
      </c>
      <c r="N27" s="2">
        <v>4823</v>
      </c>
      <c r="O27" s="4">
        <f t="shared" si="0"/>
        <v>0.77652551924005797</v>
      </c>
      <c r="P27" s="2">
        <v>25</v>
      </c>
    </row>
    <row r="28" spans="1:16" x14ac:dyDescent="0.3">
      <c r="A28" t="s">
        <v>26</v>
      </c>
      <c r="B28" s="3">
        <v>45992</v>
      </c>
      <c r="C28" s="2">
        <v>190677</v>
      </c>
      <c r="D28" s="2">
        <v>120667</v>
      </c>
      <c r="E28" s="2">
        <v>14991</v>
      </c>
      <c r="F28" s="2">
        <v>17359</v>
      </c>
      <c r="G28" s="2">
        <v>9401</v>
      </c>
      <c r="H28" s="2">
        <v>7051</v>
      </c>
      <c r="I28" s="2">
        <v>2350</v>
      </c>
      <c r="J28" s="2">
        <v>3564</v>
      </c>
      <c r="K28" s="4">
        <f t="shared" si="1"/>
        <v>0.20531136586208884</v>
      </c>
      <c r="L28" s="2">
        <v>735</v>
      </c>
      <c r="M28" s="4">
        <f t="shared" si="2"/>
        <v>0.20622895622895623</v>
      </c>
      <c r="N28" s="2">
        <v>2829</v>
      </c>
      <c r="O28" s="4">
        <f t="shared" si="0"/>
        <v>0.79377104377104379</v>
      </c>
      <c r="P28" s="2">
        <v>4394</v>
      </c>
    </row>
    <row r="29" spans="1:16" x14ac:dyDescent="0.3">
      <c r="A29" t="s">
        <v>27</v>
      </c>
      <c r="B29" s="3">
        <v>45992</v>
      </c>
      <c r="C29" s="2">
        <v>2515537</v>
      </c>
      <c r="D29" s="2">
        <v>1439212</v>
      </c>
      <c r="E29" s="2">
        <v>290301</v>
      </c>
      <c r="F29" s="2">
        <v>287018</v>
      </c>
      <c r="G29" s="2">
        <v>188000</v>
      </c>
      <c r="H29" s="2">
        <v>186662</v>
      </c>
      <c r="I29" s="2">
        <v>1338</v>
      </c>
      <c r="J29" s="2">
        <v>19382</v>
      </c>
      <c r="K29" s="4">
        <f t="shared" si="1"/>
        <v>6.7528865785421124E-2</v>
      </c>
      <c r="L29" s="2">
        <v>7264</v>
      </c>
      <c r="M29" s="4">
        <f t="shared" si="2"/>
        <v>0.37478072438344856</v>
      </c>
      <c r="N29" s="2">
        <v>12118</v>
      </c>
      <c r="O29" s="4">
        <f t="shared" si="0"/>
        <v>0.62521927561655144</v>
      </c>
      <c r="P29" s="2">
        <v>79636</v>
      </c>
    </row>
    <row r="30" spans="1:16" x14ac:dyDescent="0.3">
      <c r="A30" t="s">
        <v>28</v>
      </c>
      <c r="B30" s="3">
        <v>45992</v>
      </c>
      <c r="C30" s="2">
        <v>98449</v>
      </c>
      <c r="D30" s="2">
        <v>52998</v>
      </c>
      <c r="E30" s="2">
        <v>7340</v>
      </c>
      <c r="F30" s="2">
        <v>8766</v>
      </c>
      <c r="G30" s="2">
        <v>5512</v>
      </c>
      <c r="H30" s="2">
        <v>3494</v>
      </c>
      <c r="I30" s="2">
        <v>2018</v>
      </c>
      <c r="J30" s="2">
        <v>1834</v>
      </c>
      <c r="K30" s="4">
        <f t="shared" si="1"/>
        <v>0.20921743098334475</v>
      </c>
      <c r="L30" s="2">
        <v>480</v>
      </c>
      <c r="M30" s="4">
        <f t="shared" si="2"/>
        <v>0.26172300981461288</v>
      </c>
      <c r="N30" s="2">
        <v>1354</v>
      </c>
      <c r="O30" s="4">
        <f t="shared" si="0"/>
        <v>0.73827699018538717</v>
      </c>
      <c r="P30" s="2">
        <v>1420</v>
      </c>
    </row>
    <row r="31" spans="1:16" x14ac:dyDescent="0.3">
      <c r="A31" t="s">
        <v>29</v>
      </c>
      <c r="B31" s="3">
        <v>45992</v>
      </c>
      <c r="C31" s="2">
        <v>293948</v>
      </c>
      <c r="D31" s="2">
        <v>160431</v>
      </c>
      <c r="E31" s="2">
        <v>21744</v>
      </c>
      <c r="F31" s="2">
        <v>27465</v>
      </c>
      <c r="G31" s="2">
        <v>19277</v>
      </c>
      <c r="H31" s="2">
        <v>17099</v>
      </c>
      <c r="I31" s="2">
        <v>2178</v>
      </c>
      <c r="J31" s="2">
        <v>5328</v>
      </c>
      <c r="K31" s="4">
        <f t="shared" si="1"/>
        <v>0.19399235390496997</v>
      </c>
      <c r="L31" s="2">
        <v>2513</v>
      </c>
      <c r="M31" s="4">
        <f t="shared" si="2"/>
        <v>0.47165915915915918</v>
      </c>
      <c r="N31" s="2">
        <v>2815</v>
      </c>
      <c r="O31" s="4">
        <f t="shared" si="0"/>
        <v>0.52834084084084088</v>
      </c>
      <c r="P31" s="2">
        <v>2860</v>
      </c>
    </row>
    <row r="32" spans="1:16" x14ac:dyDescent="0.3">
      <c r="A32" t="s">
        <v>30</v>
      </c>
      <c r="B32" s="3">
        <v>45992</v>
      </c>
      <c r="C32" s="2">
        <v>155937</v>
      </c>
      <c r="D32" s="2">
        <v>88816</v>
      </c>
      <c r="E32" s="2">
        <v>11138</v>
      </c>
      <c r="F32" s="2">
        <v>12991</v>
      </c>
      <c r="G32" s="2">
        <v>7120</v>
      </c>
      <c r="H32" s="2">
        <v>3439</v>
      </c>
      <c r="I32" s="2">
        <v>3681</v>
      </c>
      <c r="J32" s="2">
        <v>4462</v>
      </c>
      <c r="K32" s="4">
        <f t="shared" si="1"/>
        <v>0.34346855515356783</v>
      </c>
      <c r="L32" s="2">
        <v>647</v>
      </c>
      <c r="M32" s="4">
        <f t="shared" si="2"/>
        <v>0.14500224114746751</v>
      </c>
      <c r="N32" s="2">
        <v>3815</v>
      </c>
      <c r="O32" s="4">
        <f t="shared" si="0"/>
        <v>0.85499775885253249</v>
      </c>
      <c r="P32" s="2">
        <v>1409</v>
      </c>
    </row>
    <row r="33" spans="1:16" x14ac:dyDescent="0.3">
      <c r="A33" t="s">
        <v>31</v>
      </c>
      <c r="B33" s="3">
        <v>45992</v>
      </c>
      <c r="C33" s="2">
        <v>1483606</v>
      </c>
      <c r="D33" s="2">
        <v>935930</v>
      </c>
      <c r="E33" s="2">
        <v>135230</v>
      </c>
      <c r="F33" s="2">
        <v>149108</v>
      </c>
      <c r="G33" s="2">
        <v>66048</v>
      </c>
      <c r="H33" s="2">
        <v>49236</v>
      </c>
      <c r="I33" s="2">
        <v>16812</v>
      </c>
      <c r="J33" s="2">
        <v>27037</v>
      </c>
      <c r="K33" s="4">
        <f t="shared" si="1"/>
        <v>0.18132494567695898</v>
      </c>
      <c r="L33" s="2">
        <v>5108</v>
      </c>
      <c r="M33" s="4">
        <f t="shared" si="2"/>
        <v>0.18892628620039206</v>
      </c>
      <c r="N33" s="2">
        <v>21929</v>
      </c>
      <c r="O33" s="4">
        <f t="shared" si="0"/>
        <v>0.81107371379960791</v>
      </c>
      <c r="P33" s="2">
        <v>56023</v>
      </c>
    </row>
    <row r="34" spans="1:16" x14ac:dyDescent="0.3">
      <c r="A34" t="s">
        <v>32</v>
      </c>
      <c r="B34" s="3">
        <v>45992</v>
      </c>
      <c r="C34" s="2">
        <v>638988</v>
      </c>
      <c r="D34" s="2">
        <v>374156</v>
      </c>
      <c r="E34" s="2">
        <v>36332</v>
      </c>
      <c r="F34" s="2">
        <v>38565</v>
      </c>
      <c r="G34" s="2">
        <v>28450</v>
      </c>
      <c r="H34" s="2">
        <v>21014</v>
      </c>
      <c r="I34" s="2">
        <v>7436</v>
      </c>
      <c r="J34" s="2">
        <v>8987</v>
      </c>
      <c r="K34" s="4">
        <f t="shared" si="1"/>
        <v>0.23303513548554389</v>
      </c>
      <c r="L34" s="2">
        <v>841</v>
      </c>
      <c r="M34" s="4">
        <f t="shared" ref="M34:M53" si="3">L34/J34</f>
        <v>9.3579614999443644E-2</v>
      </c>
      <c r="N34" s="2">
        <v>8146</v>
      </c>
      <c r="O34" s="4">
        <f t="shared" ref="O34:O65" si="4">N34/J34</f>
        <v>0.90642038500055633</v>
      </c>
      <c r="P34" s="2">
        <v>1128</v>
      </c>
    </row>
    <row r="35" spans="1:16" x14ac:dyDescent="0.3">
      <c r="A35" t="s">
        <v>33</v>
      </c>
      <c r="B35" s="3">
        <v>45992</v>
      </c>
      <c r="C35" s="2">
        <v>679311</v>
      </c>
      <c r="D35" s="2">
        <v>410643</v>
      </c>
      <c r="E35" s="2">
        <v>54725</v>
      </c>
      <c r="F35" s="2">
        <v>57914</v>
      </c>
      <c r="G35" s="2">
        <v>51120</v>
      </c>
      <c r="H35" s="2">
        <v>46499</v>
      </c>
      <c r="I35" s="2">
        <v>4621</v>
      </c>
      <c r="J35" s="2">
        <v>6794</v>
      </c>
      <c r="K35" s="4">
        <f t="shared" si="1"/>
        <v>0.11731187623027248</v>
      </c>
      <c r="L35" s="2">
        <v>1007</v>
      </c>
      <c r="M35" s="4">
        <f t="shared" si="3"/>
        <v>0.14821901677951133</v>
      </c>
      <c r="N35" s="2">
        <v>5787</v>
      </c>
      <c r="O35" s="4">
        <f t="shared" si="4"/>
        <v>0.85178098322048867</v>
      </c>
      <c r="P35" s="2">
        <v>0</v>
      </c>
    </row>
    <row r="36" spans="1:16" x14ac:dyDescent="0.3">
      <c r="A36" t="s">
        <v>34</v>
      </c>
      <c r="B36" s="3">
        <v>45992</v>
      </c>
      <c r="C36" s="2">
        <v>5853385</v>
      </c>
      <c r="D36" s="2">
        <v>4056575</v>
      </c>
      <c r="E36" s="2">
        <v>409146</v>
      </c>
      <c r="F36" s="2">
        <v>521324</v>
      </c>
      <c r="G36" s="2">
        <v>376914</v>
      </c>
      <c r="H36" s="2">
        <v>148098</v>
      </c>
      <c r="I36" s="2">
        <v>228816</v>
      </c>
      <c r="J36" s="2">
        <v>138010</v>
      </c>
      <c r="K36" s="4">
        <f t="shared" si="1"/>
        <v>0.26472980334686297</v>
      </c>
      <c r="L36" s="2">
        <v>51911</v>
      </c>
      <c r="M36" s="4">
        <f t="shared" si="3"/>
        <v>0.37613941018766756</v>
      </c>
      <c r="N36" s="2">
        <v>86099</v>
      </c>
      <c r="O36" s="4">
        <f t="shared" si="4"/>
        <v>0.62386058981233239</v>
      </c>
      <c r="P36" s="2">
        <v>6400</v>
      </c>
    </row>
    <row r="37" spans="1:16" x14ac:dyDescent="0.3">
      <c r="A37" t="s">
        <v>35</v>
      </c>
      <c r="B37" s="3">
        <v>45992</v>
      </c>
      <c r="C37" s="2">
        <v>2486762</v>
      </c>
      <c r="D37" s="2">
        <v>1554942</v>
      </c>
      <c r="E37" s="2">
        <v>244840</v>
      </c>
      <c r="F37" s="2">
        <v>246520</v>
      </c>
      <c r="G37" s="2">
        <v>174623</v>
      </c>
      <c r="H37" s="2">
        <v>150198</v>
      </c>
      <c r="I37" s="2">
        <v>24425</v>
      </c>
      <c r="J37" s="2">
        <v>47366</v>
      </c>
      <c r="K37" s="4">
        <f t="shared" si="1"/>
        <v>0.1921385688787928</v>
      </c>
      <c r="L37" s="2">
        <v>4751</v>
      </c>
      <c r="M37" s="4">
        <f t="shared" si="3"/>
        <v>0.10030401553857198</v>
      </c>
      <c r="N37" s="2">
        <v>42615</v>
      </c>
      <c r="O37" s="4">
        <f t="shared" si="4"/>
        <v>0.89969598446142807</v>
      </c>
      <c r="P37" s="2">
        <v>24531</v>
      </c>
    </row>
    <row r="38" spans="1:16" x14ac:dyDescent="0.3">
      <c r="A38" t="s">
        <v>36</v>
      </c>
      <c r="B38" s="3">
        <v>45992</v>
      </c>
      <c r="C38" s="2">
        <v>889045</v>
      </c>
      <c r="D38" s="2">
        <v>460225</v>
      </c>
      <c r="E38" s="2">
        <v>63727</v>
      </c>
      <c r="F38" s="2">
        <v>78862</v>
      </c>
      <c r="G38" s="2">
        <v>38840</v>
      </c>
      <c r="H38" s="2">
        <v>27697</v>
      </c>
      <c r="I38" s="2">
        <v>11143</v>
      </c>
      <c r="J38" s="2">
        <v>32320</v>
      </c>
      <c r="K38" s="4">
        <f t="shared" si="1"/>
        <v>0.40982982932210699</v>
      </c>
      <c r="L38" s="2">
        <v>10327</v>
      </c>
      <c r="M38" s="4">
        <f t="shared" si="3"/>
        <v>0.31952351485148517</v>
      </c>
      <c r="N38" s="2">
        <v>21993</v>
      </c>
      <c r="O38" s="4">
        <f t="shared" si="4"/>
        <v>0.68047648514851489</v>
      </c>
      <c r="P38" s="2">
        <v>7702</v>
      </c>
    </row>
    <row r="39" spans="1:16" x14ac:dyDescent="0.3">
      <c r="A39" t="s">
        <v>37</v>
      </c>
      <c r="B39" s="3">
        <v>45992</v>
      </c>
      <c r="C39" s="2">
        <v>1119159</v>
      </c>
      <c r="D39" s="2">
        <v>832223</v>
      </c>
      <c r="E39" s="2">
        <v>80169</v>
      </c>
      <c r="F39" s="2">
        <v>75825</v>
      </c>
      <c r="G39" s="2">
        <v>59718</v>
      </c>
      <c r="H39" s="2">
        <v>48836</v>
      </c>
      <c r="I39" s="2">
        <v>10882</v>
      </c>
      <c r="J39" s="2">
        <v>15923</v>
      </c>
      <c r="K39" s="4">
        <f t="shared" si="1"/>
        <v>0.20999670293438841</v>
      </c>
      <c r="L39" s="2">
        <v>3896</v>
      </c>
      <c r="M39" s="4">
        <f t="shared" si="3"/>
        <v>0.2446775105193745</v>
      </c>
      <c r="N39" s="2">
        <v>12027</v>
      </c>
      <c r="O39" s="4">
        <f t="shared" si="4"/>
        <v>0.75532248948062553</v>
      </c>
      <c r="P39" s="2">
        <v>184</v>
      </c>
    </row>
    <row r="40" spans="1:16" x14ac:dyDescent="0.3">
      <c r="A40" t="s">
        <v>38</v>
      </c>
      <c r="B40" s="3">
        <v>45992</v>
      </c>
      <c r="C40" s="2">
        <v>2710167</v>
      </c>
      <c r="D40" s="2">
        <v>1583396</v>
      </c>
      <c r="E40" s="2">
        <v>219691</v>
      </c>
      <c r="F40" s="2">
        <v>218160</v>
      </c>
      <c r="G40" s="2">
        <v>111664</v>
      </c>
      <c r="H40" s="2">
        <v>47517</v>
      </c>
      <c r="I40" s="2">
        <v>64147</v>
      </c>
      <c r="J40" s="2">
        <v>21657</v>
      </c>
      <c r="K40" s="4">
        <f t="shared" si="1"/>
        <v>9.9271177117711773E-2</v>
      </c>
      <c r="L40" s="2">
        <v>14356</v>
      </c>
      <c r="M40" s="4">
        <f t="shared" si="3"/>
        <v>0.66288036200766498</v>
      </c>
      <c r="N40" s="2">
        <v>7301</v>
      </c>
      <c r="O40" s="4">
        <f t="shared" si="4"/>
        <v>0.33711963799233502</v>
      </c>
      <c r="P40" s="2">
        <v>84839</v>
      </c>
    </row>
    <row r="41" spans="1:16" x14ac:dyDescent="0.3">
      <c r="A41" t="s">
        <v>39</v>
      </c>
      <c r="B41" s="3">
        <v>45992</v>
      </c>
      <c r="C41" s="2">
        <v>264239</v>
      </c>
      <c r="D41" s="2">
        <v>179490</v>
      </c>
      <c r="E41" s="2">
        <v>20003</v>
      </c>
      <c r="F41" s="2">
        <v>13707</v>
      </c>
      <c r="G41" s="2">
        <v>11005</v>
      </c>
      <c r="H41" s="2">
        <v>9689</v>
      </c>
      <c r="I41" s="2">
        <v>1316</v>
      </c>
      <c r="J41" s="2">
        <v>2589</v>
      </c>
      <c r="K41" s="4">
        <f t="shared" si="1"/>
        <v>0.18888159334646532</v>
      </c>
      <c r="L41" s="2">
        <v>876</v>
      </c>
      <c r="M41" s="4">
        <f t="shared" si="3"/>
        <v>0.33835457705677868</v>
      </c>
      <c r="N41" s="2">
        <v>1713</v>
      </c>
      <c r="O41" s="4">
        <f t="shared" si="4"/>
        <v>0.66164542294322137</v>
      </c>
      <c r="P41" s="2">
        <v>113</v>
      </c>
    </row>
    <row r="42" spans="1:16" x14ac:dyDescent="0.3">
      <c r="A42" t="s">
        <v>40</v>
      </c>
      <c r="B42" s="3">
        <v>45992</v>
      </c>
      <c r="C42" s="2">
        <v>864722</v>
      </c>
      <c r="D42" s="2">
        <v>372512</v>
      </c>
      <c r="E42" s="2">
        <v>96863</v>
      </c>
      <c r="F42" s="2">
        <v>78994</v>
      </c>
      <c r="G42" s="2">
        <v>59854</v>
      </c>
      <c r="H42" s="2">
        <v>52382</v>
      </c>
      <c r="I42" s="2">
        <v>7472</v>
      </c>
      <c r="J42" s="2">
        <v>17962</v>
      </c>
      <c r="K42" s="4">
        <f t="shared" si="1"/>
        <v>0.22738435830569409</v>
      </c>
      <c r="L42" s="2">
        <v>13796</v>
      </c>
      <c r="M42" s="4">
        <f t="shared" si="3"/>
        <v>0.76806591693575321</v>
      </c>
      <c r="N42" s="2">
        <v>4166</v>
      </c>
      <c r="O42" s="4">
        <f t="shared" si="4"/>
        <v>0.23193408306424673</v>
      </c>
      <c r="P42" s="2">
        <v>1178</v>
      </c>
    </row>
    <row r="43" spans="1:16" x14ac:dyDescent="0.3">
      <c r="A43" t="s">
        <v>41</v>
      </c>
      <c r="B43" s="3">
        <v>45992</v>
      </c>
      <c r="C43" s="2">
        <v>122091</v>
      </c>
      <c r="D43" s="2">
        <v>60125</v>
      </c>
      <c r="E43" s="2">
        <v>10432</v>
      </c>
      <c r="F43" s="2">
        <v>10649</v>
      </c>
      <c r="G43" s="2">
        <v>8275</v>
      </c>
      <c r="H43" s="2">
        <v>6020</v>
      </c>
      <c r="I43" s="2">
        <v>2255</v>
      </c>
      <c r="J43" s="2">
        <v>2132</v>
      </c>
      <c r="K43" s="4">
        <f t="shared" si="1"/>
        <v>0.20020659216827871</v>
      </c>
      <c r="L43" s="2">
        <v>321</v>
      </c>
      <c r="M43" s="4">
        <f t="shared" si="3"/>
        <v>0.15056285178236398</v>
      </c>
      <c r="N43" s="2">
        <v>1811</v>
      </c>
      <c r="O43" s="4">
        <f t="shared" si="4"/>
        <v>0.84943714821763605</v>
      </c>
      <c r="P43" s="2">
        <v>242</v>
      </c>
    </row>
    <row r="44" spans="1:16" x14ac:dyDescent="0.3">
      <c r="A44" t="s">
        <v>42</v>
      </c>
      <c r="B44" s="3">
        <v>45992</v>
      </c>
      <c r="C44" s="2">
        <v>1221409</v>
      </c>
      <c r="D44" s="2">
        <v>573328</v>
      </c>
      <c r="E44" s="2">
        <v>104982</v>
      </c>
      <c r="F44" s="2">
        <v>181654</v>
      </c>
      <c r="G44" s="2">
        <v>165170</v>
      </c>
      <c r="H44" s="2">
        <v>136996</v>
      </c>
      <c r="I44" s="2">
        <v>28174</v>
      </c>
      <c r="J44" s="2">
        <v>16151</v>
      </c>
      <c r="K44" s="4">
        <f t="shared" si="1"/>
        <v>8.8910786440155459E-2</v>
      </c>
      <c r="L44" s="2">
        <v>4478</v>
      </c>
      <c r="M44" s="4">
        <f>L44/J44</f>
        <v>0.27725837409448334</v>
      </c>
      <c r="N44" s="2">
        <v>11673</v>
      </c>
      <c r="O44" s="4">
        <f t="shared" si="4"/>
        <v>0.72274162590551672</v>
      </c>
      <c r="P44" s="2">
        <v>333</v>
      </c>
    </row>
    <row r="45" spans="1:16" x14ac:dyDescent="0.3">
      <c r="A45" t="s">
        <v>43</v>
      </c>
      <c r="B45" s="3">
        <v>45992</v>
      </c>
      <c r="C45" s="2">
        <v>3738963</v>
      </c>
      <c r="D45" s="2">
        <v>971170</v>
      </c>
      <c r="E45" s="2">
        <v>295401</v>
      </c>
      <c r="F45" s="2">
        <v>382936</v>
      </c>
      <c r="G45" s="2">
        <v>240200</v>
      </c>
      <c r="H45" s="2">
        <v>33412</v>
      </c>
      <c r="I45" s="2">
        <v>206788</v>
      </c>
      <c r="J45" s="2">
        <v>124690</v>
      </c>
      <c r="K45" s="4">
        <f t="shared" si="1"/>
        <v>0.32561576869241859</v>
      </c>
      <c r="L45" s="2">
        <v>37820</v>
      </c>
      <c r="M45" s="4">
        <f t="shared" si="3"/>
        <v>0.30331221429144278</v>
      </c>
      <c r="N45" s="2">
        <v>86870</v>
      </c>
      <c r="O45" s="4">
        <f t="shared" si="4"/>
        <v>0.69668778570855727</v>
      </c>
      <c r="P45" s="2">
        <v>18046</v>
      </c>
    </row>
    <row r="46" spans="1:16" x14ac:dyDescent="0.3">
      <c r="A46" t="s">
        <v>44</v>
      </c>
      <c r="B46" s="3">
        <v>45992</v>
      </c>
      <c r="C46" s="2">
        <v>291581</v>
      </c>
      <c r="D46" s="2">
        <v>160472</v>
      </c>
      <c r="E46" s="2">
        <v>24977</v>
      </c>
      <c r="F46" s="2">
        <v>34795</v>
      </c>
      <c r="G46" s="2">
        <v>19298</v>
      </c>
      <c r="H46" s="2">
        <v>13824</v>
      </c>
      <c r="I46" s="2">
        <v>5474</v>
      </c>
      <c r="J46" s="2">
        <v>9761</v>
      </c>
      <c r="K46" s="4">
        <f t="shared" si="1"/>
        <v>0.28052881161086363</v>
      </c>
      <c r="L46" s="2">
        <v>947</v>
      </c>
      <c r="M46" s="4">
        <f t="shared" si="3"/>
        <v>9.7018748079090264E-2</v>
      </c>
      <c r="N46" s="2">
        <v>8814</v>
      </c>
      <c r="O46" s="4">
        <f t="shared" si="4"/>
        <v>0.90298125192090972</v>
      </c>
      <c r="P46" s="2">
        <v>5736</v>
      </c>
    </row>
    <row r="47" spans="1:16" x14ac:dyDescent="0.3">
      <c r="A47" t="s">
        <v>45</v>
      </c>
      <c r="B47" s="3">
        <v>45992</v>
      </c>
      <c r="C47" s="2">
        <v>1482966</v>
      </c>
      <c r="D47" s="2">
        <v>876333</v>
      </c>
      <c r="E47" s="2">
        <v>123615</v>
      </c>
      <c r="F47" s="2">
        <v>138891</v>
      </c>
      <c r="G47" s="2">
        <v>114229</v>
      </c>
      <c r="H47" s="2">
        <v>65630</v>
      </c>
      <c r="I47" s="2">
        <v>48599</v>
      </c>
      <c r="J47" s="2">
        <v>19279</v>
      </c>
      <c r="K47" s="4">
        <f t="shared" si="1"/>
        <v>0.1388066901383099</v>
      </c>
      <c r="L47" s="2">
        <v>2337</v>
      </c>
      <c r="M47" s="4">
        <f t="shared" si="3"/>
        <v>0.12121998028943409</v>
      </c>
      <c r="N47" s="2">
        <v>16942</v>
      </c>
      <c r="O47" s="4">
        <f t="shared" si="4"/>
        <v>0.87878001971056585</v>
      </c>
      <c r="P47" s="2">
        <v>5383</v>
      </c>
    </row>
    <row r="48" spans="1:16" x14ac:dyDescent="0.3">
      <c r="A48" t="s">
        <v>46</v>
      </c>
      <c r="B48" s="3">
        <v>45992</v>
      </c>
      <c r="C48" s="2">
        <v>145290</v>
      </c>
      <c r="D48" s="2">
        <v>93313</v>
      </c>
      <c r="E48" s="2">
        <v>11324</v>
      </c>
      <c r="F48" s="2">
        <v>11484</v>
      </c>
      <c r="G48" s="2">
        <v>8835</v>
      </c>
      <c r="H48" s="2">
        <v>7609</v>
      </c>
      <c r="I48" s="2">
        <v>1226</v>
      </c>
      <c r="J48" s="2">
        <v>1845</v>
      </c>
      <c r="K48" s="4">
        <f t="shared" si="1"/>
        <v>0.16065830721003135</v>
      </c>
      <c r="L48" s="2">
        <v>239</v>
      </c>
      <c r="M48" s="4">
        <f t="shared" si="3"/>
        <v>0.12953929539295392</v>
      </c>
      <c r="N48" s="2">
        <v>1606</v>
      </c>
      <c r="O48" s="4">
        <f t="shared" si="4"/>
        <v>0.87046070460704605</v>
      </c>
      <c r="P48" s="2">
        <v>804</v>
      </c>
    </row>
    <row r="49" spans="1:16" x14ac:dyDescent="0.3">
      <c r="A49" t="s">
        <v>47</v>
      </c>
      <c r="B49" s="3">
        <v>45992</v>
      </c>
      <c r="C49" s="2">
        <v>1720914</v>
      </c>
      <c r="D49" s="2">
        <v>967367</v>
      </c>
      <c r="E49" s="2">
        <v>144588</v>
      </c>
      <c r="F49" s="2">
        <v>150565</v>
      </c>
      <c r="G49" s="2">
        <v>125810</v>
      </c>
      <c r="H49" s="2">
        <v>117797</v>
      </c>
      <c r="I49" s="2">
        <v>8013</v>
      </c>
      <c r="J49" s="2">
        <v>20839</v>
      </c>
      <c r="K49" s="4">
        <f t="shared" si="1"/>
        <v>0.13840533988642778</v>
      </c>
      <c r="L49" s="2">
        <v>2489</v>
      </c>
      <c r="M49" s="4">
        <f t="shared" si="3"/>
        <v>0.11943951245261289</v>
      </c>
      <c r="N49" s="2">
        <v>18350</v>
      </c>
      <c r="O49" s="4">
        <f t="shared" si="4"/>
        <v>0.88056048754738714</v>
      </c>
      <c r="P49" s="2">
        <v>3916</v>
      </c>
    </row>
    <row r="50" spans="1:16" x14ac:dyDescent="0.3">
      <c r="A50" t="s">
        <v>48</v>
      </c>
      <c r="B50" s="3">
        <v>45992</v>
      </c>
      <c r="C50" s="2">
        <v>1021843</v>
      </c>
      <c r="D50" s="2">
        <v>585285</v>
      </c>
      <c r="E50" s="2">
        <v>78617</v>
      </c>
      <c r="F50" s="2">
        <v>66143</v>
      </c>
      <c r="G50" s="2">
        <v>45425</v>
      </c>
      <c r="H50" s="2">
        <v>27825</v>
      </c>
      <c r="I50" s="2">
        <v>17600</v>
      </c>
      <c r="J50" s="2">
        <v>16145</v>
      </c>
      <c r="K50" s="4">
        <f t="shared" si="1"/>
        <v>0.24409234537290417</v>
      </c>
      <c r="L50" s="2">
        <v>7540</v>
      </c>
      <c r="M50" s="4">
        <f t="shared" si="3"/>
        <v>0.46701765252400124</v>
      </c>
      <c r="N50" s="2">
        <v>8605</v>
      </c>
      <c r="O50" s="4">
        <f t="shared" si="4"/>
        <v>0.53298234747599871</v>
      </c>
      <c r="P50" s="2">
        <v>4573</v>
      </c>
    </row>
    <row r="51" spans="1:16" x14ac:dyDescent="0.3">
      <c r="A51" t="s">
        <v>49</v>
      </c>
      <c r="B51" s="3">
        <v>45992</v>
      </c>
      <c r="C51" s="2">
        <v>450475</v>
      </c>
      <c r="D51" s="2">
        <v>295431</v>
      </c>
      <c r="E51" s="2">
        <v>34449</v>
      </c>
      <c r="F51" s="2">
        <v>28976</v>
      </c>
      <c r="G51" s="2">
        <v>22002</v>
      </c>
      <c r="H51" s="2">
        <v>16496</v>
      </c>
      <c r="I51" s="2">
        <v>5506</v>
      </c>
      <c r="J51" s="2">
        <v>6740</v>
      </c>
      <c r="K51" s="4">
        <f t="shared" si="1"/>
        <v>0.23260629486471562</v>
      </c>
      <c r="L51" s="2">
        <v>1326</v>
      </c>
      <c r="M51" s="4">
        <f t="shared" si="3"/>
        <v>0.19673590504451038</v>
      </c>
      <c r="N51" s="2">
        <v>5414</v>
      </c>
      <c r="O51" s="4">
        <f t="shared" si="4"/>
        <v>0.80326409495548956</v>
      </c>
      <c r="P51" s="2">
        <v>234</v>
      </c>
    </row>
    <row r="52" spans="1:16" x14ac:dyDescent="0.3">
      <c r="A52" t="s">
        <v>50</v>
      </c>
      <c r="B52" s="3">
        <v>45992</v>
      </c>
      <c r="C52" s="2">
        <v>53439</v>
      </c>
      <c r="D52" s="2">
        <v>19017</v>
      </c>
      <c r="E52" s="2">
        <v>5593</v>
      </c>
      <c r="F52" s="2">
        <v>5744</v>
      </c>
      <c r="G52" s="2">
        <v>3220</v>
      </c>
      <c r="H52" s="2">
        <v>662</v>
      </c>
      <c r="I52" s="2">
        <v>2558</v>
      </c>
      <c r="J52" s="2">
        <v>1382</v>
      </c>
      <c r="K52" s="4">
        <f t="shared" si="1"/>
        <v>0.24059888579387187</v>
      </c>
      <c r="L52" s="2">
        <v>291</v>
      </c>
      <c r="M52" s="4">
        <f t="shared" si="3"/>
        <v>0.21056439942112881</v>
      </c>
      <c r="N52" s="2">
        <v>1091</v>
      </c>
      <c r="O52" s="4">
        <f t="shared" si="4"/>
        <v>0.78943560057887119</v>
      </c>
      <c r="P52" s="2">
        <v>1142</v>
      </c>
    </row>
    <row r="53" spans="1:16" s="1" customFormat="1" x14ac:dyDescent="0.3">
      <c r="A53" s="1" t="s">
        <v>63</v>
      </c>
      <c r="B53" s="8">
        <v>45992</v>
      </c>
      <c r="C53" s="10">
        <f>SUM(C2:C52)</f>
        <v>68482024</v>
      </c>
      <c r="D53" s="10">
        <f>SUM(D2:D52)</f>
        <v>39686209</v>
      </c>
      <c r="E53" s="10">
        <f>SUM(E2:E52)</f>
        <v>5926916</v>
      </c>
      <c r="F53" s="10">
        <f t="shared" ref="F53:L53" si="5">SUM(F2:F52)</f>
        <v>6196502</v>
      </c>
      <c r="G53" s="10">
        <f t="shared" si="5"/>
        <v>4240649</v>
      </c>
      <c r="H53" s="10">
        <f t="shared" si="5"/>
        <v>2980648</v>
      </c>
      <c r="I53" s="10">
        <f t="shared" si="5"/>
        <v>1260001</v>
      </c>
      <c r="J53" s="10">
        <f t="shared" si="5"/>
        <v>1248108</v>
      </c>
      <c r="K53" s="9">
        <f t="shared" si="1"/>
        <v>0.20142138258004275</v>
      </c>
      <c r="L53" s="10">
        <f t="shared" si="5"/>
        <v>321991</v>
      </c>
      <c r="M53" s="9">
        <f t="shared" si="3"/>
        <v>0.25798328349790245</v>
      </c>
      <c r="N53" s="10">
        <f>SUM(N2:N52)</f>
        <v>926117</v>
      </c>
      <c r="O53" s="9">
        <f t="shared" si="4"/>
        <v>0.74201671650209755</v>
      </c>
      <c r="P53" s="10">
        <f>SUM(P2:P52)</f>
        <v>707745</v>
      </c>
    </row>
    <row r="54" spans="1:16" x14ac:dyDescent="0.3">
      <c r="A54" t="s">
        <v>0</v>
      </c>
      <c r="B54" s="3">
        <v>46023</v>
      </c>
      <c r="C54">
        <v>197303</v>
      </c>
      <c r="D54">
        <v>125204</v>
      </c>
      <c r="E54">
        <v>14223</v>
      </c>
      <c r="F54">
        <v>17354</v>
      </c>
      <c r="G54">
        <v>7006</v>
      </c>
      <c r="H54">
        <v>3782</v>
      </c>
      <c r="I54">
        <v>3224</v>
      </c>
      <c r="J54">
        <v>5351</v>
      </c>
      <c r="K54" s="4">
        <f t="shared" si="1"/>
        <v>0.30834389766048176</v>
      </c>
      <c r="L54">
        <v>1798</v>
      </c>
      <c r="M54" s="4">
        <f t="shared" ref="M54:M104" si="6">L54/J54</f>
        <v>0.33601196038123715</v>
      </c>
      <c r="N54">
        <v>3553</v>
      </c>
      <c r="O54" s="4">
        <f t="shared" si="4"/>
        <v>0.66398803961876285</v>
      </c>
      <c r="P54">
        <v>4997</v>
      </c>
    </row>
    <row r="55" spans="1:16" x14ac:dyDescent="0.3">
      <c r="A55" t="s">
        <v>1</v>
      </c>
      <c r="B55" s="3">
        <v>46023</v>
      </c>
      <c r="C55">
        <v>741054</v>
      </c>
      <c r="D55">
        <v>265381</v>
      </c>
      <c r="E55">
        <v>94392</v>
      </c>
      <c r="F55">
        <v>99200</v>
      </c>
      <c r="G55">
        <v>72257</v>
      </c>
      <c r="H55">
        <v>42135</v>
      </c>
      <c r="I55">
        <v>30122</v>
      </c>
      <c r="J55">
        <v>25405</v>
      </c>
      <c r="K55" s="4">
        <f t="shared" si="1"/>
        <v>0.25609879032258065</v>
      </c>
      <c r="L55">
        <v>17834</v>
      </c>
      <c r="M55" s="4">
        <f t="shared" si="6"/>
        <v>0.70198779767762254</v>
      </c>
      <c r="N55">
        <v>7571</v>
      </c>
      <c r="O55" s="4">
        <f t="shared" si="4"/>
        <v>0.29801220232237746</v>
      </c>
      <c r="P55">
        <v>1538</v>
      </c>
    </row>
    <row r="56" spans="1:16" x14ac:dyDescent="0.3">
      <c r="A56" t="s">
        <v>2</v>
      </c>
      <c r="B56" s="3">
        <v>46023</v>
      </c>
      <c r="C56">
        <v>717460</v>
      </c>
      <c r="D56">
        <v>402672</v>
      </c>
      <c r="E56">
        <v>58931</v>
      </c>
      <c r="F56">
        <v>55651</v>
      </c>
      <c r="G56">
        <v>47575</v>
      </c>
      <c r="H56">
        <v>43355</v>
      </c>
      <c r="I56">
        <v>4220</v>
      </c>
      <c r="J56">
        <v>7873</v>
      </c>
      <c r="K56" s="4">
        <f t="shared" si="1"/>
        <v>0.14147095290291278</v>
      </c>
      <c r="L56">
        <v>1147</v>
      </c>
      <c r="M56" s="4">
        <f t="shared" si="6"/>
        <v>0.14568779372539056</v>
      </c>
      <c r="N56">
        <v>6726</v>
      </c>
      <c r="O56" s="4">
        <f t="shared" si="4"/>
        <v>0.85431220627460946</v>
      </c>
      <c r="P56">
        <v>203</v>
      </c>
    </row>
    <row r="57" spans="1:16" x14ac:dyDescent="0.3">
      <c r="A57" t="s">
        <v>3</v>
      </c>
      <c r="B57" s="3">
        <v>46023</v>
      </c>
      <c r="C57">
        <v>1550145</v>
      </c>
      <c r="D57">
        <v>934079</v>
      </c>
      <c r="E57">
        <v>180639</v>
      </c>
      <c r="F57">
        <v>183464</v>
      </c>
      <c r="G57">
        <v>133031</v>
      </c>
      <c r="H57">
        <v>124915</v>
      </c>
      <c r="I57">
        <v>8116</v>
      </c>
      <c r="J57">
        <v>35813</v>
      </c>
      <c r="K57" s="4">
        <f t="shared" si="1"/>
        <v>0.19520450878646492</v>
      </c>
      <c r="L57">
        <v>8578</v>
      </c>
      <c r="M57" s="4">
        <f t="shared" si="6"/>
        <v>0.23952196129896966</v>
      </c>
      <c r="N57">
        <v>27235</v>
      </c>
      <c r="O57" s="4">
        <f t="shared" si="4"/>
        <v>0.76047803870103037</v>
      </c>
      <c r="P57">
        <v>14620</v>
      </c>
    </row>
    <row r="58" spans="1:16" x14ac:dyDescent="0.3">
      <c r="A58" t="s">
        <v>4</v>
      </c>
      <c r="B58" s="3">
        <v>46023</v>
      </c>
      <c r="C58">
        <v>11317458</v>
      </c>
      <c r="D58">
        <v>7972639</v>
      </c>
      <c r="E58">
        <v>1205884</v>
      </c>
      <c r="F58">
        <v>1138457</v>
      </c>
      <c r="G58">
        <v>585694</v>
      </c>
      <c r="H58">
        <v>401218</v>
      </c>
      <c r="I58">
        <v>184476</v>
      </c>
      <c r="J58">
        <v>237171</v>
      </c>
      <c r="K58" s="4">
        <f t="shared" si="1"/>
        <v>0.20832670886998805</v>
      </c>
      <c r="L58">
        <v>17671</v>
      </c>
      <c r="M58" s="4">
        <f t="shared" si="6"/>
        <v>7.4507422914268609E-2</v>
      </c>
      <c r="N58">
        <v>219500</v>
      </c>
      <c r="O58" s="4">
        <f t="shared" si="4"/>
        <v>0.9254925770857314</v>
      </c>
      <c r="P58">
        <v>315592</v>
      </c>
    </row>
    <row r="59" spans="1:16" x14ac:dyDescent="0.3">
      <c r="A59" t="s">
        <v>5</v>
      </c>
      <c r="B59" s="3">
        <v>46023</v>
      </c>
      <c r="C59">
        <v>1048404</v>
      </c>
      <c r="D59">
        <v>664220</v>
      </c>
      <c r="E59">
        <v>97700</v>
      </c>
      <c r="F59">
        <v>87086</v>
      </c>
      <c r="G59">
        <v>69885</v>
      </c>
      <c r="H59">
        <v>52882</v>
      </c>
      <c r="I59">
        <v>17003</v>
      </c>
      <c r="J59">
        <v>14741</v>
      </c>
      <c r="K59" s="4">
        <f t="shared" si="1"/>
        <v>0.16926945777736949</v>
      </c>
      <c r="L59">
        <v>6364</v>
      </c>
      <c r="M59" s="4">
        <f t="shared" si="6"/>
        <v>0.43172105013228412</v>
      </c>
      <c r="N59">
        <v>8377</v>
      </c>
      <c r="O59" s="4">
        <f t="shared" si="4"/>
        <v>0.56827894986771588</v>
      </c>
      <c r="P59">
        <v>2460</v>
      </c>
    </row>
    <row r="60" spans="1:16" x14ac:dyDescent="0.3">
      <c r="A60" t="s">
        <v>6</v>
      </c>
      <c r="B60" s="3">
        <v>46023</v>
      </c>
      <c r="C60">
        <v>880077</v>
      </c>
      <c r="D60">
        <v>540615</v>
      </c>
      <c r="E60">
        <v>100412</v>
      </c>
      <c r="F60">
        <v>82990</v>
      </c>
      <c r="G60">
        <v>73220</v>
      </c>
      <c r="H60">
        <v>69915</v>
      </c>
      <c r="I60">
        <v>3305</v>
      </c>
      <c r="J60">
        <v>6594</v>
      </c>
      <c r="K60" s="4">
        <f t="shared" si="1"/>
        <v>7.9455356066996025E-2</v>
      </c>
      <c r="L60">
        <v>3862</v>
      </c>
      <c r="M60" s="4">
        <f t="shared" si="6"/>
        <v>0.5856839551107067</v>
      </c>
      <c r="N60">
        <v>2732</v>
      </c>
      <c r="O60" s="4">
        <f t="shared" si="4"/>
        <v>0.4143160448892933</v>
      </c>
      <c r="P60">
        <v>3176</v>
      </c>
    </row>
    <row r="61" spans="1:16" x14ac:dyDescent="0.3">
      <c r="A61" t="s">
        <v>7</v>
      </c>
      <c r="B61" s="3">
        <v>46023</v>
      </c>
      <c r="C61">
        <v>221109</v>
      </c>
      <c r="D61">
        <v>144017</v>
      </c>
      <c r="E61">
        <v>18683</v>
      </c>
      <c r="F61">
        <v>18735</v>
      </c>
      <c r="G61">
        <v>16088</v>
      </c>
      <c r="H61">
        <v>15652</v>
      </c>
      <c r="I61">
        <v>436</v>
      </c>
      <c r="J61">
        <v>1881</v>
      </c>
      <c r="K61" s="4">
        <f t="shared" si="1"/>
        <v>0.10040032025620496</v>
      </c>
      <c r="L61">
        <v>46</v>
      </c>
      <c r="M61" s="4">
        <f t="shared" si="6"/>
        <v>2.4455077086656035E-2</v>
      </c>
      <c r="N61">
        <v>1835</v>
      </c>
      <c r="O61" s="4">
        <f t="shared" si="4"/>
        <v>0.97554492291334394</v>
      </c>
      <c r="P61">
        <v>766</v>
      </c>
    </row>
    <row r="62" spans="1:16" x14ac:dyDescent="0.3">
      <c r="A62" t="s">
        <v>8</v>
      </c>
      <c r="B62" s="3">
        <v>46023</v>
      </c>
      <c r="C62">
        <v>225267</v>
      </c>
      <c r="D62">
        <v>133112</v>
      </c>
      <c r="E62">
        <v>16538</v>
      </c>
      <c r="F62">
        <v>16538</v>
      </c>
      <c r="G62">
        <v>10945</v>
      </c>
      <c r="H62">
        <v>6621</v>
      </c>
      <c r="I62">
        <v>4324</v>
      </c>
      <c r="J62">
        <v>5377</v>
      </c>
      <c r="K62" s="4">
        <f t="shared" si="1"/>
        <v>0.3251300036280082</v>
      </c>
      <c r="L62">
        <v>1735</v>
      </c>
      <c r="M62" s="4">
        <f t="shared" si="6"/>
        <v>0.3226706341826297</v>
      </c>
      <c r="N62">
        <v>3642</v>
      </c>
      <c r="O62" s="4">
        <f t="shared" si="4"/>
        <v>0.67732936581737024</v>
      </c>
      <c r="P62">
        <v>216</v>
      </c>
    </row>
    <row r="63" spans="1:16" x14ac:dyDescent="0.3">
      <c r="A63" t="s">
        <v>9</v>
      </c>
      <c r="B63" s="3">
        <v>46023</v>
      </c>
      <c r="C63">
        <v>3425630</v>
      </c>
      <c r="D63">
        <v>1275778</v>
      </c>
      <c r="E63">
        <v>197339</v>
      </c>
      <c r="F63">
        <v>195466</v>
      </c>
      <c r="G63">
        <v>119673</v>
      </c>
      <c r="H63">
        <v>47094</v>
      </c>
      <c r="I63">
        <v>72579</v>
      </c>
      <c r="J63">
        <v>36782</v>
      </c>
      <c r="K63" s="4">
        <f t="shared" si="1"/>
        <v>0.18817594875835184</v>
      </c>
      <c r="L63">
        <v>15824</v>
      </c>
      <c r="M63" s="4">
        <f t="shared" si="6"/>
        <v>0.43021042901419171</v>
      </c>
      <c r="N63">
        <v>20958</v>
      </c>
      <c r="O63" s="4">
        <f t="shared" si="4"/>
        <v>0.56978957098580829</v>
      </c>
      <c r="P63">
        <v>39011</v>
      </c>
    </row>
    <row r="64" spans="1:16" x14ac:dyDescent="0.3">
      <c r="A64" t="s">
        <v>10</v>
      </c>
      <c r="B64" s="3">
        <v>46023</v>
      </c>
      <c r="C64">
        <v>1668068</v>
      </c>
      <c r="D64">
        <v>547853</v>
      </c>
      <c r="E64">
        <v>131330</v>
      </c>
      <c r="F64">
        <v>208198</v>
      </c>
      <c r="G64">
        <v>136049</v>
      </c>
      <c r="H64">
        <v>111772</v>
      </c>
      <c r="I64">
        <v>24277</v>
      </c>
      <c r="J64">
        <v>55970</v>
      </c>
      <c r="K64" s="4">
        <f t="shared" si="1"/>
        <v>0.26883063237879329</v>
      </c>
      <c r="L64">
        <v>26360</v>
      </c>
      <c r="M64" s="4">
        <f t="shared" si="6"/>
        <v>0.47096658924423801</v>
      </c>
      <c r="N64">
        <v>29610</v>
      </c>
      <c r="O64" s="4">
        <f t="shared" si="4"/>
        <v>0.52903341075576205</v>
      </c>
      <c r="P64">
        <v>16179</v>
      </c>
    </row>
    <row r="65" spans="1:16" x14ac:dyDescent="0.3">
      <c r="A65" t="s">
        <v>11</v>
      </c>
      <c r="B65" s="3">
        <v>46023</v>
      </c>
      <c r="C65">
        <v>362596</v>
      </c>
      <c r="D65">
        <v>234592</v>
      </c>
      <c r="E65">
        <v>18551</v>
      </c>
      <c r="F65">
        <v>26831</v>
      </c>
      <c r="G65">
        <v>23339</v>
      </c>
      <c r="H65">
        <v>18514</v>
      </c>
      <c r="I65">
        <v>4825</v>
      </c>
      <c r="J65">
        <v>2780</v>
      </c>
      <c r="K65" s="4">
        <f t="shared" si="1"/>
        <v>0.10361149416719466</v>
      </c>
      <c r="L65">
        <v>539</v>
      </c>
      <c r="M65" s="4">
        <f t="shared" si="6"/>
        <v>0.19388489208633095</v>
      </c>
      <c r="N65">
        <v>2241</v>
      </c>
      <c r="O65" s="4">
        <f t="shared" si="4"/>
        <v>0.80611510791366903</v>
      </c>
      <c r="P65">
        <v>712</v>
      </c>
    </row>
    <row r="66" spans="1:16" x14ac:dyDescent="0.3">
      <c r="A66" t="s">
        <v>12</v>
      </c>
      <c r="B66" s="3">
        <v>46023</v>
      </c>
      <c r="C66">
        <v>580005</v>
      </c>
      <c r="D66">
        <v>335372</v>
      </c>
      <c r="E66">
        <v>44726</v>
      </c>
      <c r="F66">
        <v>55874</v>
      </c>
      <c r="G66">
        <v>47701</v>
      </c>
      <c r="H66">
        <v>40708</v>
      </c>
      <c r="I66">
        <v>6993</v>
      </c>
      <c r="J66">
        <v>5035</v>
      </c>
      <c r="K66" s="4">
        <f t="shared" si="1"/>
        <v>9.0113469592296949E-2</v>
      </c>
      <c r="L66">
        <v>1107</v>
      </c>
      <c r="M66" s="4">
        <f t="shared" si="6"/>
        <v>0.21986097318768619</v>
      </c>
      <c r="N66">
        <v>3928</v>
      </c>
      <c r="O66" s="4">
        <f t="shared" ref="O66:O97" si="7">N66/J66</f>
        <v>0.78013902681231384</v>
      </c>
      <c r="P66">
        <v>3138</v>
      </c>
    </row>
    <row r="67" spans="1:16" x14ac:dyDescent="0.3">
      <c r="A67" t="s">
        <v>13</v>
      </c>
      <c r="B67" s="3">
        <v>46023</v>
      </c>
      <c r="C67">
        <v>290877</v>
      </c>
      <c r="D67">
        <v>159259</v>
      </c>
      <c r="E67">
        <v>18356</v>
      </c>
      <c r="F67">
        <v>18161</v>
      </c>
      <c r="G67">
        <v>12655</v>
      </c>
      <c r="H67">
        <v>8969</v>
      </c>
      <c r="I67">
        <v>3686</v>
      </c>
      <c r="J67">
        <v>4758</v>
      </c>
      <c r="K67" s="4">
        <f t="shared" ref="K67:K130" si="8">J67/F67</f>
        <v>0.26198997852541162</v>
      </c>
      <c r="L67">
        <v>839</v>
      </c>
      <c r="M67" s="4">
        <f t="shared" si="6"/>
        <v>0.17633459436738125</v>
      </c>
      <c r="N67">
        <v>3919</v>
      </c>
      <c r="O67" s="4">
        <f t="shared" si="7"/>
        <v>0.8236654056326187</v>
      </c>
      <c r="P67">
        <v>748</v>
      </c>
    </row>
    <row r="68" spans="1:16" x14ac:dyDescent="0.3">
      <c r="A68" t="s">
        <v>14</v>
      </c>
      <c r="B68" s="3">
        <v>46023</v>
      </c>
      <c r="C68">
        <v>2672120</v>
      </c>
      <c r="D68">
        <v>1645688</v>
      </c>
      <c r="E68">
        <v>236409</v>
      </c>
      <c r="F68">
        <v>163325</v>
      </c>
      <c r="G68">
        <v>123425</v>
      </c>
      <c r="H68">
        <v>102862</v>
      </c>
      <c r="I68">
        <v>20563</v>
      </c>
      <c r="J68">
        <v>21962</v>
      </c>
      <c r="K68" s="4">
        <f t="shared" si="8"/>
        <v>0.13446808510638297</v>
      </c>
      <c r="L68">
        <v>4576</v>
      </c>
      <c r="M68" s="4">
        <f t="shared" si="6"/>
        <v>0.20835989436299063</v>
      </c>
      <c r="N68">
        <v>17386</v>
      </c>
      <c r="O68" s="4">
        <f t="shared" si="7"/>
        <v>0.79164010563700937</v>
      </c>
      <c r="P68">
        <v>17938</v>
      </c>
    </row>
    <row r="69" spans="1:16" x14ac:dyDescent="0.3">
      <c r="A69" t="s">
        <v>15</v>
      </c>
      <c r="B69" s="3">
        <v>46023</v>
      </c>
      <c r="C69">
        <v>1335294</v>
      </c>
      <c r="D69">
        <v>763303</v>
      </c>
      <c r="E69">
        <v>115539</v>
      </c>
      <c r="F69">
        <v>108259</v>
      </c>
      <c r="G69">
        <v>27894</v>
      </c>
      <c r="H69">
        <v>19764</v>
      </c>
      <c r="I69">
        <v>8130</v>
      </c>
      <c r="J69">
        <v>50396</v>
      </c>
      <c r="K69" s="4">
        <f t="shared" si="8"/>
        <v>0.46551325986753989</v>
      </c>
      <c r="L69">
        <v>1116</v>
      </c>
      <c r="M69" s="4">
        <f t="shared" si="6"/>
        <v>2.2144614651956506E-2</v>
      </c>
      <c r="N69">
        <v>49280</v>
      </c>
      <c r="O69" s="4">
        <f t="shared" si="7"/>
        <v>0.9778553853480435</v>
      </c>
      <c r="P69">
        <v>29969</v>
      </c>
    </row>
    <row r="70" spans="1:16" x14ac:dyDescent="0.3">
      <c r="A70" t="s">
        <v>16</v>
      </c>
      <c r="B70" s="3">
        <v>46023</v>
      </c>
      <c r="C70">
        <v>326481</v>
      </c>
      <c r="D70">
        <v>122168</v>
      </c>
      <c r="E70">
        <v>25992</v>
      </c>
      <c r="F70">
        <v>33796</v>
      </c>
      <c r="G70">
        <v>24263</v>
      </c>
      <c r="H70">
        <v>15260</v>
      </c>
      <c r="I70">
        <v>9003</v>
      </c>
      <c r="J70">
        <v>8292</v>
      </c>
      <c r="K70" s="4">
        <f t="shared" si="8"/>
        <v>0.24535447982009706</v>
      </c>
      <c r="L70">
        <v>4109</v>
      </c>
      <c r="M70" s="4">
        <f t="shared" si="6"/>
        <v>0.49553786782440906</v>
      </c>
      <c r="N70">
        <v>4183</v>
      </c>
      <c r="O70" s="4">
        <f t="shared" si="7"/>
        <v>0.50446213217559088</v>
      </c>
      <c r="P70">
        <v>1241</v>
      </c>
    </row>
    <row r="71" spans="1:16" x14ac:dyDescent="0.3">
      <c r="A71" t="s">
        <v>17</v>
      </c>
      <c r="B71" s="3">
        <v>46023</v>
      </c>
      <c r="C71">
        <v>1185030</v>
      </c>
      <c r="D71">
        <v>719455</v>
      </c>
      <c r="E71">
        <v>139700</v>
      </c>
      <c r="F71">
        <v>153237</v>
      </c>
      <c r="G71">
        <v>130740</v>
      </c>
      <c r="H71">
        <v>117179</v>
      </c>
      <c r="I71">
        <v>13561</v>
      </c>
      <c r="J71">
        <v>21705</v>
      </c>
      <c r="K71" s="4">
        <f t="shared" si="8"/>
        <v>0.14164333679202804</v>
      </c>
      <c r="L71">
        <v>5967</v>
      </c>
      <c r="M71" s="4">
        <f t="shared" si="6"/>
        <v>0.27491361437456807</v>
      </c>
      <c r="N71">
        <v>15738</v>
      </c>
      <c r="O71" s="4">
        <f t="shared" si="7"/>
        <v>0.72508638562543193</v>
      </c>
      <c r="P71">
        <v>792</v>
      </c>
    </row>
    <row r="72" spans="1:16" x14ac:dyDescent="0.3">
      <c r="A72" t="s">
        <v>18</v>
      </c>
      <c r="B72" s="3">
        <v>46023</v>
      </c>
      <c r="C72">
        <v>1248524</v>
      </c>
      <c r="D72">
        <v>708161</v>
      </c>
      <c r="E72">
        <v>108555</v>
      </c>
      <c r="F72">
        <v>90934</v>
      </c>
      <c r="G72">
        <v>52372</v>
      </c>
      <c r="H72">
        <v>39341</v>
      </c>
      <c r="I72">
        <v>13031</v>
      </c>
      <c r="J72">
        <v>24545</v>
      </c>
      <c r="K72" s="4">
        <f t="shared" si="8"/>
        <v>0.26992104163459213</v>
      </c>
      <c r="L72">
        <v>2784</v>
      </c>
      <c r="M72" s="4">
        <f t="shared" si="6"/>
        <v>0.11342432267264209</v>
      </c>
      <c r="N72">
        <v>21761</v>
      </c>
      <c r="O72" s="4">
        <f t="shared" si="7"/>
        <v>0.88657567732735787</v>
      </c>
      <c r="P72">
        <v>14017</v>
      </c>
    </row>
    <row r="73" spans="1:16" x14ac:dyDescent="0.3">
      <c r="A73" t="s">
        <v>19</v>
      </c>
      <c r="B73" s="3">
        <v>46023</v>
      </c>
      <c r="C73">
        <v>1386431</v>
      </c>
      <c r="D73">
        <v>891737</v>
      </c>
      <c r="E73">
        <v>218579</v>
      </c>
      <c r="F73">
        <v>87964</v>
      </c>
      <c r="G73">
        <v>70119</v>
      </c>
      <c r="H73">
        <v>59329</v>
      </c>
      <c r="I73">
        <v>10790</v>
      </c>
      <c r="J73">
        <v>15625</v>
      </c>
      <c r="K73" s="4">
        <f t="shared" si="8"/>
        <v>0.17762948478923196</v>
      </c>
      <c r="L73">
        <v>4292</v>
      </c>
      <c r="M73" s="4">
        <f t="shared" si="6"/>
        <v>0.27468799999999999</v>
      </c>
      <c r="N73">
        <v>11333</v>
      </c>
      <c r="O73" s="4">
        <f t="shared" si="7"/>
        <v>0.72531199999999996</v>
      </c>
      <c r="P73">
        <v>2220</v>
      </c>
    </row>
    <row r="74" spans="1:16" x14ac:dyDescent="0.3">
      <c r="A74" t="s">
        <v>20</v>
      </c>
      <c r="B74" s="3">
        <v>46023</v>
      </c>
      <c r="C74">
        <v>1197502</v>
      </c>
      <c r="D74">
        <v>727714</v>
      </c>
      <c r="E74">
        <v>91339</v>
      </c>
      <c r="F74">
        <v>96692</v>
      </c>
      <c r="G74">
        <v>70583</v>
      </c>
      <c r="H74">
        <v>52383</v>
      </c>
      <c r="I74">
        <v>18200</v>
      </c>
      <c r="J74">
        <v>22472</v>
      </c>
      <c r="K74" s="4">
        <f t="shared" si="8"/>
        <v>0.23240805857775204</v>
      </c>
      <c r="L74">
        <v>3312</v>
      </c>
      <c r="M74" s="4">
        <f t="shared" si="6"/>
        <v>0.14738341046635814</v>
      </c>
      <c r="N74">
        <v>19160</v>
      </c>
      <c r="O74" s="4">
        <f t="shared" si="7"/>
        <v>0.85261658953364183</v>
      </c>
      <c r="P74">
        <v>3637</v>
      </c>
    </row>
    <row r="75" spans="1:16" x14ac:dyDescent="0.3">
      <c r="A75" t="s">
        <v>21</v>
      </c>
      <c r="B75" s="3">
        <v>46023</v>
      </c>
      <c r="C75">
        <v>313752</v>
      </c>
      <c r="D75">
        <v>196633</v>
      </c>
      <c r="E75">
        <v>36842</v>
      </c>
      <c r="F75">
        <v>27987</v>
      </c>
      <c r="G75">
        <v>21991</v>
      </c>
      <c r="H75">
        <v>20841</v>
      </c>
      <c r="I75">
        <v>1150</v>
      </c>
      <c r="J75">
        <v>2713</v>
      </c>
      <c r="K75" s="4">
        <f t="shared" si="8"/>
        <v>9.6937864008289562E-2</v>
      </c>
      <c r="L75">
        <v>328</v>
      </c>
      <c r="M75" s="4">
        <f t="shared" si="6"/>
        <v>0.12089937338739402</v>
      </c>
      <c r="N75">
        <v>2385</v>
      </c>
      <c r="O75" s="4">
        <f t="shared" si="7"/>
        <v>0.87910062661260602</v>
      </c>
      <c r="P75">
        <v>3283</v>
      </c>
    </row>
    <row r="76" spans="1:16" x14ac:dyDescent="0.3">
      <c r="A76" t="s">
        <v>22</v>
      </c>
      <c r="B76" s="3">
        <v>46023</v>
      </c>
      <c r="C76">
        <v>2029635</v>
      </c>
      <c r="D76">
        <v>1312500</v>
      </c>
      <c r="E76">
        <v>193979</v>
      </c>
      <c r="F76">
        <v>178917</v>
      </c>
      <c r="G76">
        <v>134294</v>
      </c>
      <c r="H76">
        <v>104840</v>
      </c>
      <c r="I76">
        <v>29454</v>
      </c>
      <c r="J76">
        <v>30087</v>
      </c>
      <c r="K76" s="4">
        <f t="shared" si="8"/>
        <v>0.16816177333623972</v>
      </c>
      <c r="L76">
        <v>3052</v>
      </c>
      <c r="M76" s="4">
        <f t="shared" si="6"/>
        <v>0.10143915977000033</v>
      </c>
      <c r="N76">
        <v>27035</v>
      </c>
      <c r="O76" s="4">
        <f t="shared" si="7"/>
        <v>0.89856084022999971</v>
      </c>
      <c r="P76">
        <v>14536</v>
      </c>
    </row>
    <row r="77" spans="1:16" x14ac:dyDescent="0.3">
      <c r="A77" t="s">
        <v>23</v>
      </c>
      <c r="B77" s="3">
        <v>46023</v>
      </c>
      <c r="C77">
        <v>1135395</v>
      </c>
      <c r="D77">
        <v>542550</v>
      </c>
      <c r="E77">
        <v>91249</v>
      </c>
      <c r="F77">
        <v>93453</v>
      </c>
      <c r="G77">
        <v>75754</v>
      </c>
      <c r="H77">
        <v>66189</v>
      </c>
      <c r="I77">
        <v>9565</v>
      </c>
      <c r="J77">
        <v>17699</v>
      </c>
      <c r="K77" s="4">
        <f t="shared" si="8"/>
        <v>0.18938931869495895</v>
      </c>
      <c r="L77">
        <v>2563</v>
      </c>
      <c r="M77" s="4">
        <f t="shared" si="6"/>
        <v>0.14481044126786824</v>
      </c>
      <c r="N77">
        <v>15136</v>
      </c>
      <c r="O77" s="4">
        <f t="shared" si="7"/>
        <v>0.85518955873213176</v>
      </c>
      <c r="P77">
        <v>0</v>
      </c>
    </row>
    <row r="78" spans="1:16" x14ac:dyDescent="0.3">
      <c r="A78" t="s">
        <v>24</v>
      </c>
      <c r="B78" s="3">
        <v>46023</v>
      </c>
      <c r="C78">
        <v>1114809</v>
      </c>
      <c r="D78">
        <v>679266</v>
      </c>
      <c r="E78">
        <v>135791</v>
      </c>
      <c r="F78">
        <v>118813</v>
      </c>
      <c r="G78">
        <v>68259</v>
      </c>
      <c r="H78">
        <v>60628</v>
      </c>
      <c r="I78">
        <v>7631</v>
      </c>
      <c r="J78">
        <v>24046</v>
      </c>
      <c r="K78" s="4">
        <f t="shared" si="8"/>
        <v>0.2023852608721268</v>
      </c>
      <c r="L78">
        <v>2421</v>
      </c>
      <c r="M78" s="4">
        <f t="shared" si="6"/>
        <v>0.10068202611660983</v>
      </c>
      <c r="N78">
        <v>21625</v>
      </c>
      <c r="O78" s="4">
        <f t="shared" si="7"/>
        <v>0.89931797388339019</v>
      </c>
      <c r="P78">
        <v>26508</v>
      </c>
    </row>
    <row r="79" spans="1:16" x14ac:dyDescent="0.3">
      <c r="A79" t="s">
        <v>25</v>
      </c>
      <c r="B79" s="3">
        <v>46023</v>
      </c>
      <c r="C79">
        <v>504317</v>
      </c>
      <c r="D79">
        <v>195298</v>
      </c>
      <c r="E79">
        <v>43457</v>
      </c>
      <c r="F79">
        <v>37877</v>
      </c>
      <c r="G79">
        <v>31935</v>
      </c>
      <c r="H79">
        <v>19843</v>
      </c>
      <c r="I79">
        <v>12092</v>
      </c>
      <c r="J79">
        <v>5930</v>
      </c>
      <c r="K79" s="4">
        <f t="shared" si="8"/>
        <v>0.15655938960318927</v>
      </c>
      <c r="L79">
        <v>1093</v>
      </c>
      <c r="M79" s="4">
        <f t="shared" si="6"/>
        <v>0.18431703204047217</v>
      </c>
      <c r="N79">
        <v>4837</v>
      </c>
      <c r="O79" s="4">
        <f t="shared" si="7"/>
        <v>0.81568296795952777</v>
      </c>
      <c r="P79">
        <v>12</v>
      </c>
    </row>
    <row r="80" spans="1:16" x14ac:dyDescent="0.3">
      <c r="A80" t="s">
        <v>26</v>
      </c>
      <c r="B80" s="3">
        <v>46023</v>
      </c>
      <c r="C80">
        <v>189764</v>
      </c>
      <c r="D80">
        <v>120087</v>
      </c>
      <c r="E80">
        <v>16038</v>
      </c>
      <c r="F80">
        <v>14965</v>
      </c>
      <c r="G80">
        <v>8352</v>
      </c>
      <c r="H80">
        <v>6362</v>
      </c>
      <c r="I80">
        <v>1990</v>
      </c>
      <c r="J80">
        <v>3038</v>
      </c>
      <c r="K80" s="4">
        <f t="shared" si="8"/>
        <v>0.20300701637153357</v>
      </c>
      <c r="L80">
        <v>726</v>
      </c>
      <c r="M80" s="4">
        <f t="shared" si="6"/>
        <v>0.23897300855826201</v>
      </c>
      <c r="N80">
        <v>2312</v>
      </c>
      <c r="O80" s="4">
        <f t="shared" si="7"/>
        <v>0.76102699144173802</v>
      </c>
      <c r="P80">
        <v>3575</v>
      </c>
    </row>
    <row r="81" spans="1:16" x14ac:dyDescent="0.3">
      <c r="A81" t="s">
        <v>27</v>
      </c>
      <c r="B81" s="3">
        <v>46023</v>
      </c>
      <c r="C81">
        <v>2512861</v>
      </c>
      <c r="D81">
        <v>1444157</v>
      </c>
      <c r="E81">
        <v>289499</v>
      </c>
      <c r="F81">
        <v>282048</v>
      </c>
      <c r="G81">
        <v>173719</v>
      </c>
      <c r="H81">
        <v>172327</v>
      </c>
      <c r="I81">
        <v>1392</v>
      </c>
      <c r="J81">
        <v>17872</v>
      </c>
      <c r="K81" s="4">
        <f t="shared" si="8"/>
        <v>6.3365100975720443E-2</v>
      </c>
      <c r="L81">
        <v>7083</v>
      </c>
      <c r="M81" s="4">
        <f t="shared" si="6"/>
        <v>0.39631826320501345</v>
      </c>
      <c r="N81">
        <v>10789</v>
      </c>
      <c r="O81" s="4">
        <f t="shared" si="7"/>
        <v>0.6036817367949866</v>
      </c>
      <c r="P81">
        <v>90457</v>
      </c>
    </row>
    <row r="82" spans="1:16" x14ac:dyDescent="0.3">
      <c r="A82" t="s">
        <v>28</v>
      </c>
      <c r="B82" s="3">
        <v>46023</v>
      </c>
      <c r="C82">
        <v>98270</v>
      </c>
      <c r="D82">
        <v>52959</v>
      </c>
      <c r="E82">
        <v>7671</v>
      </c>
      <c r="F82">
        <v>8127</v>
      </c>
      <c r="G82">
        <v>4748</v>
      </c>
      <c r="H82">
        <v>3002</v>
      </c>
      <c r="I82">
        <v>1746</v>
      </c>
      <c r="J82">
        <v>1484</v>
      </c>
      <c r="K82" s="4">
        <f t="shared" si="8"/>
        <v>0.1826012058570198</v>
      </c>
      <c r="L82">
        <v>389</v>
      </c>
      <c r="M82" s="4">
        <f t="shared" si="6"/>
        <v>0.26212938005390835</v>
      </c>
      <c r="N82">
        <v>1095</v>
      </c>
      <c r="O82" s="4">
        <f t="shared" si="7"/>
        <v>0.7378706199460916</v>
      </c>
      <c r="P82">
        <v>1895</v>
      </c>
    </row>
    <row r="83" spans="1:16" x14ac:dyDescent="0.3">
      <c r="A83" t="s">
        <v>29</v>
      </c>
      <c r="B83" s="3">
        <v>46023</v>
      </c>
      <c r="C83">
        <v>294967</v>
      </c>
      <c r="D83">
        <v>161374</v>
      </c>
      <c r="E83">
        <v>21853</v>
      </c>
      <c r="F83">
        <v>22986</v>
      </c>
      <c r="G83">
        <v>16050</v>
      </c>
      <c r="H83">
        <v>14031</v>
      </c>
      <c r="I83">
        <v>2019</v>
      </c>
      <c r="J83">
        <v>4294</v>
      </c>
      <c r="K83" s="4">
        <f t="shared" si="8"/>
        <v>0.18680936222048203</v>
      </c>
      <c r="L83">
        <v>2140</v>
      </c>
      <c r="M83" s="4">
        <f t="shared" si="6"/>
        <v>0.49836981835118771</v>
      </c>
      <c r="N83">
        <v>2154</v>
      </c>
      <c r="O83" s="4">
        <f t="shared" si="7"/>
        <v>0.50163018164881235</v>
      </c>
      <c r="P83">
        <v>2642</v>
      </c>
    </row>
    <row r="84" spans="1:16" x14ac:dyDescent="0.3">
      <c r="A84" t="s">
        <v>30</v>
      </c>
      <c r="B84" s="3">
        <v>46023</v>
      </c>
      <c r="C84">
        <v>154244</v>
      </c>
      <c r="D84">
        <v>87548</v>
      </c>
      <c r="E84">
        <v>10859</v>
      </c>
      <c r="F84">
        <v>11138</v>
      </c>
      <c r="G84">
        <v>6617</v>
      </c>
      <c r="H84">
        <v>3239</v>
      </c>
      <c r="I84">
        <v>3378</v>
      </c>
      <c r="J84">
        <v>3074</v>
      </c>
      <c r="K84" s="4">
        <f t="shared" si="8"/>
        <v>0.27599209912012929</v>
      </c>
      <c r="L84">
        <v>487</v>
      </c>
      <c r="M84" s="4">
        <f t="shared" si="6"/>
        <v>0.15842550422901758</v>
      </c>
      <c r="N84">
        <v>2587</v>
      </c>
      <c r="O84" s="4">
        <f t="shared" si="7"/>
        <v>0.84157449577098242</v>
      </c>
      <c r="P84">
        <v>1447</v>
      </c>
    </row>
    <row r="85" spans="1:16" x14ac:dyDescent="0.3">
      <c r="A85" t="s">
        <v>31</v>
      </c>
      <c r="B85" s="3">
        <v>46023</v>
      </c>
      <c r="C85">
        <v>1478452</v>
      </c>
      <c r="D85">
        <v>933893</v>
      </c>
      <c r="E85">
        <v>151677</v>
      </c>
      <c r="F85">
        <v>125736</v>
      </c>
      <c r="G85">
        <v>50739</v>
      </c>
      <c r="H85">
        <v>38797</v>
      </c>
      <c r="I85">
        <v>11942</v>
      </c>
      <c r="J85">
        <v>20372</v>
      </c>
      <c r="K85" s="4">
        <f t="shared" si="8"/>
        <v>0.16202201437933447</v>
      </c>
      <c r="L85">
        <v>3871</v>
      </c>
      <c r="M85" s="4">
        <f t="shared" si="6"/>
        <v>0.19001570783428234</v>
      </c>
      <c r="N85">
        <v>16501</v>
      </c>
      <c r="O85" s="4">
        <f t="shared" si="7"/>
        <v>0.80998429216571766</v>
      </c>
      <c r="P85">
        <v>54625</v>
      </c>
    </row>
    <row r="86" spans="1:16" x14ac:dyDescent="0.3">
      <c r="A86" t="s">
        <v>32</v>
      </c>
      <c r="B86" s="3">
        <v>46023</v>
      </c>
      <c r="C86">
        <v>637738</v>
      </c>
      <c r="D86">
        <v>373808</v>
      </c>
      <c r="E86">
        <v>39749</v>
      </c>
      <c r="F86">
        <v>35203</v>
      </c>
      <c r="G86">
        <v>26215</v>
      </c>
      <c r="H86">
        <v>18629</v>
      </c>
      <c r="I86">
        <v>7586</v>
      </c>
      <c r="J86">
        <v>8296</v>
      </c>
      <c r="K86" s="4">
        <f t="shared" si="8"/>
        <v>0.23566173337499646</v>
      </c>
      <c r="L86">
        <v>882</v>
      </c>
      <c r="M86" s="4">
        <f t="shared" si="6"/>
        <v>0.10631629701060752</v>
      </c>
      <c r="N86">
        <v>7414</v>
      </c>
      <c r="O86" s="4">
        <f t="shared" si="7"/>
        <v>0.89368370298939248</v>
      </c>
      <c r="P86">
        <v>692</v>
      </c>
    </row>
    <row r="87" spans="1:16" x14ac:dyDescent="0.3">
      <c r="A87" t="s">
        <v>33</v>
      </c>
      <c r="B87" s="3">
        <v>46023</v>
      </c>
      <c r="C87">
        <v>680798</v>
      </c>
      <c r="D87">
        <v>412195</v>
      </c>
      <c r="E87">
        <v>65012</v>
      </c>
      <c r="F87">
        <v>54725</v>
      </c>
      <c r="G87">
        <v>46557</v>
      </c>
      <c r="H87">
        <v>36527</v>
      </c>
      <c r="I87">
        <v>10030</v>
      </c>
      <c r="J87">
        <v>6739</v>
      </c>
      <c r="K87" s="4">
        <f t="shared" si="8"/>
        <v>0.12314298766560074</v>
      </c>
      <c r="L87">
        <v>981</v>
      </c>
      <c r="M87" s="4">
        <f t="shared" si="6"/>
        <v>0.14557055943018252</v>
      </c>
      <c r="N87">
        <v>5758</v>
      </c>
      <c r="O87" s="4">
        <f t="shared" si="7"/>
        <v>0.85442944056981751</v>
      </c>
      <c r="P87">
        <v>1429</v>
      </c>
    </row>
    <row r="88" spans="1:16" x14ac:dyDescent="0.3">
      <c r="A88" t="s">
        <v>34</v>
      </c>
      <c r="B88" s="3">
        <v>46023</v>
      </c>
      <c r="C88">
        <v>5817285</v>
      </c>
      <c r="D88">
        <v>4027735</v>
      </c>
      <c r="E88">
        <v>429636</v>
      </c>
      <c r="F88">
        <v>413108</v>
      </c>
      <c r="G88">
        <v>282417</v>
      </c>
      <c r="H88">
        <v>105401</v>
      </c>
      <c r="I88">
        <v>177016</v>
      </c>
      <c r="J88">
        <v>124447</v>
      </c>
      <c r="K88" s="4">
        <f t="shared" si="8"/>
        <v>0.30124567909602329</v>
      </c>
      <c r="L88">
        <v>36399</v>
      </c>
      <c r="M88" s="4">
        <f t="shared" si="6"/>
        <v>0.29248595787765075</v>
      </c>
      <c r="N88">
        <v>88048</v>
      </c>
      <c r="O88" s="4">
        <f t="shared" si="7"/>
        <v>0.70751404212234925</v>
      </c>
      <c r="P88">
        <v>6244</v>
      </c>
    </row>
    <row r="89" spans="1:16" x14ac:dyDescent="0.3">
      <c r="A89" t="s">
        <v>35</v>
      </c>
      <c r="B89" s="3">
        <v>46023</v>
      </c>
      <c r="C89">
        <v>2456737</v>
      </c>
      <c r="D89">
        <v>1535925</v>
      </c>
      <c r="E89">
        <v>267513</v>
      </c>
      <c r="F89">
        <v>233476</v>
      </c>
      <c r="G89">
        <v>169035</v>
      </c>
      <c r="H89">
        <v>145843</v>
      </c>
      <c r="I89">
        <v>23192</v>
      </c>
      <c r="J89">
        <v>41161</v>
      </c>
      <c r="K89" s="4">
        <f t="shared" si="8"/>
        <v>0.176296493001422</v>
      </c>
      <c r="L89">
        <v>3987</v>
      </c>
      <c r="M89" s="4">
        <f t="shared" si="6"/>
        <v>9.6863535871334519E-2</v>
      </c>
      <c r="N89">
        <v>37174</v>
      </c>
      <c r="O89" s="4">
        <f t="shared" si="7"/>
        <v>0.90313646412866544</v>
      </c>
      <c r="P89">
        <v>23280</v>
      </c>
    </row>
    <row r="90" spans="1:16" x14ac:dyDescent="0.3">
      <c r="A90" t="s">
        <v>36</v>
      </c>
      <c r="B90" s="3">
        <v>46023</v>
      </c>
      <c r="C90">
        <v>891840</v>
      </c>
      <c r="D90">
        <v>463440</v>
      </c>
      <c r="E90">
        <v>63713</v>
      </c>
      <c r="F90">
        <v>63727</v>
      </c>
      <c r="G90">
        <v>35015</v>
      </c>
      <c r="H90">
        <v>27094</v>
      </c>
      <c r="I90">
        <v>7921</v>
      </c>
      <c r="J90">
        <v>23307</v>
      </c>
      <c r="K90" s="4">
        <f t="shared" si="8"/>
        <v>0.36573195035071476</v>
      </c>
      <c r="L90">
        <v>4616</v>
      </c>
      <c r="M90" s="4">
        <f t="shared" si="6"/>
        <v>0.19805208735573004</v>
      </c>
      <c r="N90">
        <v>18691</v>
      </c>
      <c r="O90" s="4">
        <f t="shared" si="7"/>
        <v>0.80194791264427001</v>
      </c>
      <c r="P90">
        <v>5405</v>
      </c>
    </row>
    <row r="91" spans="1:16" x14ac:dyDescent="0.3">
      <c r="A91" t="s">
        <v>37</v>
      </c>
      <c r="B91" s="3">
        <v>46023</v>
      </c>
      <c r="C91">
        <v>1112951</v>
      </c>
      <c r="D91">
        <v>826332</v>
      </c>
      <c r="E91">
        <v>96134</v>
      </c>
      <c r="F91">
        <v>79554</v>
      </c>
      <c r="G91">
        <v>62836</v>
      </c>
      <c r="H91">
        <v>51210</v>
      </c>
      <c r="I91">
        <v>11626</v>
      </c>
      <c r="J91">
        <v>16468</v>
      </c>
      <c r="K91" s="4">
        <f t="shared" si="8"/>
        <v>0.20700404756517585</v>
      </c>
      <c r="L91">
        <v>4592</v>
      </c>
      <c r="M91" s="4">
        <f t="shared" si="6"/>
        <v>0.27884381831430655</v>
      </c>
      <c r="N91">
        <v>11876</v>
      </c>
      <c r="O91" s="4">
        <f t="shared" si="7"/>
        <v>0.72115618168569351</v>
      </c>
      <c r="P91">
        <v>250</v>
      </c>
    </row>
    <row r="92" spans="1:16" x14ac:dyDescent="0.3">
      <c r="A92" t="s">
        <v>38</v>
      </c>
      <c r="B92" s="3">
        <v>46023</v>
      </c>
      <c r="C92">
        <v>2706010</v>
      </c>
      <c r="D92">
        <v>1582103</v>
      </c>
      <c r="E92">
        <v>234269</v>
      </c>
      <c r="F92">
        <v>215474</v>
      </c>
      <c r="G92">
        <v>107938</v>
      </c>
      <c r="H92">
        <v>45540</v>
      </c>
      <c r="I92">
        <v>62398</v>
      </c>
      <c r="J92">
        <v>23666</v>
      </c>
      <c r="K92" s="4">
        <f t="shared" si="8"/>
        <v>0.10983227674800672</v>
      </c>
      <c r="L92">
        <v>14088</v>
      </c>
      <c r="M92" s="4">
        <f t="shared" si="6"/>
        <v>0.59528437420772418</v>
      </c>
      <c r="N92">
        <v>9578</v>
      </c>
      <c r="O92" s="4">
        <f t="shared" si="7"/>
        <v>0.40471562579227582</v>
      </c>
      <c r="P92">
        <v>83870</v>
      </c>
    </row>
    <row r="93" spans="1:16" x14ac:dyDescent="0.3">
      <c r="A93" t="s">
        <v>39</v>
      </c>
      <c r="B93" s="3">
        <v>46023</v>
      </c>
      <c r="C93">
        <v>264991</v>
      </c>
      <c r="D93">
        <v>180472</v>
      </c>
      <c r="E93">
        <v>14527</v>
      </c>
      <c r="F93">
        <v>20003</v>
      </c>
      <c r="G93">
        <v>16280</v>
      </c>
      <c r="H93">
        <v>15210</v>
      </c>
      <c r="I93">
        <v>1070</v>
      </c>
      <c r="J93">
        <v>3629</v>
      </c>
      <c r="K93" s="4">
        <f t="shared" si="8"/>
        <v>0.18142278658201269</v>
      </c>
      <c r="L93">
        <v>1032</v>
      </c>
      <c r="M93" s="4">
        <f t="shared" si="6"/>
        <v>0.2843758611187655</v>
      </c>
      <c r="N93">
        <v>2597</v>
      </c>
      <c r="O93" s="4">
        <f t="shared" si="7"/>
        <v>0.71562413888123455</v>
      </c>
      <c r="P93">
        <v>94</v>
      </c>
    </row>
    <row r="94" spans="1:16" x14ac:dyDescent="0.3">
      <c r="A94" t="s">
        <v>40</v>
      </c>
      <c r="B94" s="3">
        <v>46023</v>
      </c>
      <c r="C94">
        <v>859665</v>
      </c>
      <c r="D94">
        <v>369873</v>
      </c>
      <c r="E94">
        <v>74934</v>
      </c>
      <c r="F94">
        <v>82514</v>
      </c>
      <c r="G94">
        <v>61736</v>
      </c>
      <c r="H94">
        <v>54672</v>
      </c>
      <c r="I94">
        <v>7064</v>
      </c>
      <c r="J94">
        <v>19371</v>
      </c>
      <c r="K94" s="4">
        <f t="shared" si="8"/>
        <v>0.23476016191191798</v>
      </c>
      <c r="L94">
        <v>14013</v>
      </c>
      <c r="M94" s="4">
        <f t="shared" si="6"/>
        <v>0.72340096019823452</v>
      </c>
      <c r="N94">
        <v>5358</v>
      </c>
      <c r="O94" s="4">
        <f t="shared" si="7"/>
        <v>0.27659903980176553</v>
      </c>
      <c r="P94">
        <v>1407</v>
      </c>
    </row>
    <row r="95" spans="1:16" x14ac:dyDescent="0.3">
      <c r="A95" t="s">
        <v>41</v>
      </c>
      <c r="B95" s="3">
        <v>46023</v>
      </c>
      <c r="C95">
        <v>122120</v>
      </c>
      <c r="D95">
        <v>60084</v>
      </c>
      <c r="E95">
        <v>11446</v>
      </c>
      <c r="F95">
        <v>10432</v>
      </c>
      <c r="G95">
        <v>8273</v>
      </c>
      <c r="H95">
        <v>6206</v>
      </c>
      <c r="I95">
        <v>2067</v>
      </c>
      <c r="J95">
        <v>1826</v>
      </c>
      <c r="K95" s="4">
        <f t="shared" si="8"/>
        <v>0.17503834355828221</v>
      </c>
      <c r="L95">
        <v>264</v>
      </c>
      <c r="M95" s="4">
        <f t="shared" si="6"/>
        <v>0.14457831325301204</v>
      </c>
      <c r="N95">
        <v>1562</v>
      </c>
      <c r="O95" s="4">
        <f t="shared" si="7"/>
        <v>0.85542168674698793</v>
      </c>
      <c r="P95">
        <v>333</v>
      </c>
    </row>
    <row r="96" spans="1:16" x14ac:dyDescent="0.3">
      <c r="A96" t="s">
        <v>42</v>
      </c>
      <c r="B96" s="3">
        <v>46023</v>
      </c>
      <c r="C96">
        <v>1221648</v>
      </c>
      <c r="D96">
        <v>573070</v>
      </c>
      <c r="E96">
        <v>91145</v>
      </c>
      <c r="F96">
        <v>98316</v>
      </c>
      <c r="G96">
        <v>85533</v>
      </c>
      <c r="H96">
        <v>65019</v>
      </c>
      <c r="I96">
        <v>20514</v>
      </c>
      <c r="J96">
        <v>12414</v>
      </c>
      <c r="K96" s="4">
        <f t="shared" si="8"/>
        <v>0.12626632491150983</v>
      </c>
      <c r="L96">
        <v>4065</v>
      </c>
      <c r="M96" s="4">
        <f t="shared" si="6"/>
        <v>0.32745287578540355</v>
      </c>
      <c r="N96">
        <v>8349</v>
      </c>
      <c r="O96" s="4">
        <f t="shared" si="7"/>
        <v>0.67254712421459639</v>
      </c>
      <c r="P96">
        <v>369</v>
      </c>
    </row>
    <row r="97" spans="1:16" x14ac:dyDescent="0.3">
      <c r="A97" t="s">
        <v>43</v>
      </c>
      <c r="B97" s="3">
        <v>46023</v>
      </c>
      <c r="C97">
        <v>3688051</v>
      </c>
      <c r="D97">
        <v>964948</v>
      </c>
      <c r="E97">
        <v>305035</v>
      </c>
      <c r="F97">
        <v>283176</v>
      </c>
      <c r="G97">
        <v>175873</v>
      </c>
      <c r="H97">
        <v>24344</v>
      </c>
      <c r="I97">
        <v>151529</v>
      </c>
      <c r="J97">
        <v>86328</v>
      </c>
      <c r="K97" s="4">
        <f t="shared" si="8"/>
        <v>0.30485634375794557</v>
      </c>
      <c r="L97">
        <v>31675</v>
      </c>
      <c r="M97" s="4">
        <f t="shared" si="6"/>
        <v>0.36691455842831988</v>
      </c>
      <c r="N97">
        <v>54653</v>
      </c>
      <c r="O97" s="4">
        <f t="shared" si="7"/>
        <v>0.63308544157168012</v>
      </c>
      <c r="P97">
        <v>20975</v>
      </c>
    </row>
    <row r="98" spans="1:16" x14ac:dyDescent="0.3">
      <c r="A98" t="s">
        <v>44</v>
      </c>
      <c r="B98" s="3">
        <v>46023</v>
      </c>
      <c r="C98">
        <v>291325</v>
      </c>
      <c r="D98">
        <v>161482</v>
      </c>
      <c r="E98">
        <v>26110</v>
      </c>
      <c r="F98">
        <v>29865</v>
      </c>
      <c r="G98">
        <v>15967</v>
      </c>
      <c r="H98">
        <v>10792</v>
      </c>
      <c r="I98">
        <v>5175</v>
      </c>
      <c r="J98">
        <v>8486</v>
      </c>
      <c r="K98" s="4">
        <f t="shared" si="8"/>
        <v>0.284145320609409</v>
      </c>
      <c r="L98">
        <v>846</v>
      </c>
      <c r="M98" s="4">
        <f t="shared" si="6"/>
        <v>9.9693613009662979E-2</v>
      </c>
      <c r="N98">
        <v>7640</v>
      </c>
      <c r="O98" s="4">
        <f t="shared" ref="O98:O106" si="9">N98/J98</f>
        <v>0.90030638699033705</v>
      </c>
      <c r="P98">
        <v>5412</v>
      </c>
    </row>
    <row r="99" spans="1:16" x14ac:dyDescent="0.3">
      <c r="A99" t="s">
        <v>45</v>
      </c>
      <c r="B99" s="3">
        <v>46023</v>
      </c>
      <c r="C99">
        <v>1479460</v>
      </c>
      <c r="D99">
        <v>874347</v>
      </c>
      <c r="E99">
        <v>129742</v>
      </c>
      <c r="F99">
        <v>137990</v>
      </c>
      <c r="G99">
        <v>90513</v>
      </c>
      <c r="H99">
        <v>67935</v>
      </c>
      <c r="I99">
        <v>22578</v>
      </c>
      <c r="J99">
        <v>20429</v>
      </c>
      <c r="K99" s="4">
        <f t="shared" si="8"/>
        <v>0.14804695992463221</v>
      </c>
      <c r="L99">
        <v>5106</v>
      </c>
      <c r="M99" s="4">
        <f t="shared" si="6"/>
        <v>0.2499388124724656</v>
      </c>
      <c r="N99">
        <v>15323</v>
      </c>
      <c r="O99" s="4">
        <f t="shared" si="9"/>
        <v>0.75006118752753437</v>
      </c>
      <c r="P99">
        <v>27048</v>
      </c>
    </row>
    <row r="100" spans="1:16" x14ac:dyDescent="0.3">
      <c r="A100" t="s">
        <v>46</v>
      </c>
      <c r="B100" s="3">
        <v>46023</v>
      </c>
      <c r="C100">
        <v>144677</v>
      </c>
      <c r="D100">
        <v>92792</v>
      </c>
      <c r="E100">
        <v>13944</v>
      </c>
      <c r="F100">
        <v>11025</v>
      </c>
      <c r="G100">
        <v>8249</v>
      </c>
      <c r="H100">
        <v>6997</v>
      </c>
      <c r="I100">
        <v>1252</v>
      </c>
      <c r="J100">
        <v>1895</v>
      </c>
      <c r="K100" s="4">
        <f t="shared" si="8"/>
        <v>0.17188208616780046</v>
      </c>
      <c r="L100">
        <v>249</v>
      </c>
      <c r="M100" s="4">
        <f t="shared" si="6"/>
        <v>0.13139841688654352</v>
      </c>
      <c r="N100">
        <v>1646</v>
      </c>
      <c r="O100" s="4">
        <f t="shared" si="9"/>
        <v>0.86860158311345648</v>
      </c>
      <c r="P100">
        <v>881</v>
      </c>
    </row>
    <row r="101" spans="1:16" x14ac:dyDescent="0.3">
      <c r="A101" t="s">
        <v>47</v>
      </c>
      <c r="B101" s="3">
        <v>46023</v>
      </c>
      <c r="C101">
        <v>1721857</v>
      </c>
      <c r="D101">
        <v>969403</v>
      </c>
      <c r="E101">
        <v>145589</v>
      </c>
      <c r="F101">
        <v>116929</v>
      </c>
      <c r="G101">
        <v>102813</v>
      </c>
      <c r="H101">
        <v>96586</v>
      </c>
      <c r="I101">
        <v>6227</v>
      </c>
      <c r="J101">
        <v>13222</v>
      </c>
      <c r="K101" s="4">
        <f t="shared" si="8"/>
        <v>0.11307716648564514</v>
      </c>
      <c r="L101">
        <v>2042</v>
      </c>
      <c r="M101" s="4">
        <f t="shared" si="6"/>
        <v>0.15443957041294812</v>
      </c>
      <c r="N101">
        <v>11180</v>
      </c>
      <c r="O101" s="4">
        <f t="shared" si="9"/>
        <v>0.84556042958705191</v>
      </c>
      <c r="P101">
        <v>894</v>
      </c>
    </row>
    <row r="102" spans="1:16" x14ac:dyDescent="0.3">
      <c r="A102" t="s">
        <v>48</v>
      </c>
      <c r="B102" s="3">
        <v>46023</v>
      </c>
      <c r="C102">
        <v>1019688</v>
      </c>
      <c r="D102">
        <v>583277</v>
      </c>
      <c r="E102">
        <v>83122</v>
      </c>
      <c r="F102">
        <v>62429</v>
      </c>
      <c r="G102">
        <v>42429</v>
      </c>
      <c r="H102">
        <v>24308</v>
      </c>
      <c r="I102">
        <v>18121</v>
      </c>
      <c r="J102">
        <v>15041</v>
      </c>
      <c r="K102" s="4">
        <f t="shared" si="8"/>
        <v>0.24092969613480913</v>
      </c>
      <c r="L102">
        <v>6489</v>
      </c>
      <c r="M102" s="4">
        <f t="shared" si="6"/>
        <v>0.43142078319260685</v>
      </c>
      <c r="N102">
        <v>8552</v>
      </c>
      <c r="O102" s="4">
        <f t="shared" si="9"/>
        <v>0.5685792168073931</v>
      </c>
      <c r="P102">
        <v>4959</v>
      </c>
    </row>
    <row r="103" spans="1:16" x14ac:dyDescent="0.3">
      <c r="A103" t="s">
        <v>49</v>
      </c>
      <c r="B103" s="3">
        <v>46023</v>
      </c>
      <c r="C103">
        <v>448685</v>
      </c>
      <c r="D103">
        <v>294184</v>
      </c>
      <c r="E103">
        <v>31021</v>
      </c>
      <c r="F103">
        <v>22299</v>
      </c>
      <c r="G103">
        <v>17023</v>
      </c>
      <c r="H103">
        <v>13118</v>
      </c>
      <c r="I103">
        <v>3905</v>
      </c>
      <c r="J103">
        <v>5086</v>
      </c>
      <c r="K103" s="4">
        <f t="shared" si="8"/>
        <v>0.22808197677025877</v>
      </c>
      <c r="L103">
        <v>893</v>
      </c>
      <c r="M103" s="4">
        <f t="shared" si="6"/>
        <v>0.1755800235941801</v>
      </c>
      <c r="N103">
        <v>4193</v>
      </c>
      <c r="O103" s="4">
        <f t="shared" si="9"/>
        <v>0.82441997640581988</v>
      </c>
      <c r="P103">
        <v>190</v>
      </c>
    </row>
    <row r="104" spans="1:16" x14ac:dyDescent="0.3">
      <c r="A104" t="s">
        <v>50</v>
      </c>
      <c r="B104" s="3">
        <v>46023</v>
      </c>
      <c r="C104">
        <v>53702</v>
      </c>
      <c r="D104">
        <v>19055</v>
      </c>
      <c r="E104">
        <v>4289</v>
      </c>
      <c r="F104">
        <v>5411</v>
      </c>
      <c r="G104">
        <v>2810</v>
      </c>
      <c r="H104">
        <v>1719</v>
      </c>
      <c r="I104">
        <v>1091</v>
      </c>
      <c r="J104">
        <v>1313</v>
      </c>
      <c r="K104" s="4">
        <f t="shared" si="8"/>
        <v>0.24265385326187397</v>
      </c>
      <c r="L104">
        <v>326</v>
      </c>
      <c r="M104" s="4">
        <f t="shared" si="6"/>
        <v>0.24828636709824828</v>
      </c>
      <c r="N104">
        <v>987</v>
      </c>
      <c r="O104" s="4">
        <f t="shared" si="9"/>
        <v>0.75171363290175175</v>
      </c>
      <c r="P104">
        <v>1288</v>
      </c>
    </row>
    <row r="105" spans="1:16" s="1" customFormat="1" x14ac:dyDescent="0.3">
      <c r="A105" s="1" t="s">
        <v>63</v>
      </c>
      <c r="B105" s="8">
        <v>46023</v>
      </c>
      <c r="C105" s="1">
        <f>SUM(C54:C104)</f>
        <v>68022529</v>
      </c>
      <c r="D105" s="1">
        <f>SUM(D54:D104)</f>
        <v>39403809</v>
      </c>
      <c r="E105" s="1">
        <f>SUM(E54:E104)</f>
        <v>6259662</v>
      </c>
      <c r="F105" s="1">
        <f t="shared" ref="F105:L105" si="10">SUM(F54:F104)</f>
        <v>5835915</v>
      </c>
      <c r="G105" s="1">
        <f t="shared" si="10"/>
        <v>3804484</v>
      </c>
      <c r="H105" s="1">
        <f t="shared" si="10"/>
        <v>2720899</v>
      </c>
      <c r="I105" s="1">
        <f t="shared" si="10"/>
        <v>1083585</v>
      </c>
      <c r="J105" s="1">
        <f t="shared" si="10"/>
        <v>1174261</v>
      </c>
      <c r="K105" s="9">
        <f t="shared" si="8"/>
        <v>0.20121283466260217</v>
      </c>
      <c r="L105" s="1">
        <f t="shared" si="10"/>
        <v>286558</v>
      </c>
      <c r="M105" s="9">
        <f>L105/J105</f>
        <v>0.2440326298838163</v>
      </c>
      <c r="N105" s="10">
        <f>SUM(N54:N104)</f>
        <v>887703</v>
      </c>
      <c r="O105" s="9">
        <f t="shared" si="9"/>
        <v>0.75596737011618376</v>
      </c>
      <c r="P105" s="1">
        <f>SUM(P54:P104)</f>
        <v>857170</v>
      </c>
    </row>
    <row r="106" spans="1:16" x14ac:dyDescent="0.3">
      <c r="A106" t="s">
        <v>0</v>
      </c>
      <c r="B106" s="3">
        <v>46054</v>
      </c>
      <c r="C106">
        <v>197587</v>
      </c>
      <c r="D106">
        <v>125270</v>
      </c>
      <c r="E106">
        <v>12750</v>
      </c>
      <c r="F106">
        <v>20000</v>
      </c>
      <c r="G106">
        <v>8345</v>
      </c>
      <c r="H106">
        <v>4686</v>
      </c>
      <c r="I106">
        <v>3659</v>
      </c>
      <c r="J106">
        <v>7804</v>
      </c>
      <c r="K106" s="4">
        <f t="shared" si="8"/>
        <v>0.39019999999999999</v>
      </c>
      <c r="L106">
        <v>1945</v>
      </c>
      <c r="M106" s="4">
        <f>L106/J106</f>
        <v>0.24923116350589442</v>
      </c>
      <c r="N106">
        <v>5859</v>
      </c>
      <c r="O106" s="4">
        <f t="shared" si="9"/>
        <v>0.75076883649410564</v>
      </c>
      <c r="P106">
        <v>3851</v>
      </c>
    </row>
    <row r="107" spans="1:16" x14ac:dyDescent="0.3">
      <c r="A107" t="s">
        <v>1</v>
      </c>
      <c r="B107" s="3">
        <v>46054</v>
      </c>
      <c r="C107">
        <v>740700</v>
      </c>
      <c r="D107">
        <v>265636</v>
      </c>
      <c r="E107">
        <v>201219</v>
      </c>
      <c r="F107">
        <v>105413</v>
      </c>
      <c r="G107">
        <v>80623</v>
      </c>
      <c r="H107">
        <v>45186</v>
      </c>
      <c r="I107">
        <v>35437</v>
      </c>
      <c r="J107">
        <v>23594</v>
      </c>
      <c r="K107" s="4">
        <f t="shared" si="8"/>
        <v>0.22382438598654814</v>
      </c>
      <c r="L107">
        <v>17150</v>
      </c>
      <c r="M107" s="4">
        <f t="shared" ref="M107:M156" si="11">L107/J107</f>
        <v>0.72687971518182593</v>
      </c>
      <c r="N107">
        <v>6444</v>
      </c>
      <c r="O107" s="4">
        <f t="shared" ref="O107:O156" si="12">N107/J107</f>
        <v>0.27312028481817413</v>
      </c>
      <c r="P107">
        <v>1196</v>
      </c>
    </row>
    <row r="108" spans="1:16" x14ac:dyDescent="0.3">
      <c r="A108" t="s">
        <v>2</v>
      </c>
      <c r="B108" s="3">
        <v>46054</v>
      </c>
      <c r="C108">
        <v>715111</v>
      </c>
      <c r="D108">
        <v>399123</v>
      </c>
      <c r="E108">
        <v>57641</v>
      </c>
      <c r="F108">
        <v>48463</v>
      </c>
      <c r="G108">
        <v>40369</v>
      </c>
      <c r="H108">
        <v>35966</v>
      </c>
      <c r="I108">
        <v>4403</v>
      </c>
      <c r="J108">
        <v>7877</v>
      </c>
      <c r="K108" s="4">
        <f t="shared" si="8"/>
        <v>0.16253636795080784</v>
      </c>
      <c r="L108">
        <v>1643</v>
      </c>
      <c r="M108" s="4">
        <f t="shared" si="11"/>
        <v>0.20858194744191952</v>
      </c>
      <c r="N108">
        <v>6234</v>
      </c>
      <c r="O108" s="4">
        <f t="shared" si="12"/>
        <v>0.79141805255808051</v>
      </c>
      <c r="P108">
        <v>217</v>
      </c>
    </row>
    <row r="109" spans="1:16" x14ac:dyDescent="0.3">
      <c r="A109" t="s">
        <v>3</v>
      </c>
      <c r="B109" s="3">
        <v>46054</v>
      </c>
      <c r="C109">
        <v>1527741</v>
      </c>
      <c r="D109">
        <v>919497</v>
      </c>
      <c r="E109">
        <v>150939</v>
      </c>
      <c r="F109">
        <v>113696</v>
      </c>
      <c r="G109">
        <v>78193</v>
      </c>
      <c r="H109">
        <v>71538</v>
      </c>
      <c r="I109">
        <v>6655</v>
      </c>
      <c r="J109">
        <v>25149</v>
      </c>
      <c r="K109" s="4">
        <f t="shared" si="8"/>
        <v>0.22119511680270193</v>
      </c>
      <c r="L109">
        <v>6815</v>
      </c>
      <c r="M109" s="4">
        <f t="shared" si="11"/>
        <v>0.27098492981828304</v>
      </c>
      <c r="N109">
        <v>18334</v>
      </c>
      <c r="O109" s="4">
        <f t="shared" si="12"/>
        <v>0.72901507018171696</v>
      </c>
      <c r="P109">
        <v>10354</v>
      </c>
    </row>
    <row r="110" spans="1:16" x14ac:dyDescent="0.3">
      <c r="A110" t="s">
        <v>4</v>
      </c>
      <c r="B110" s="3">
        <v>46054</v>
      </c>
      <c r="C110">
        <v>11206969</v>
      </c>
      <c r="D110">
        <v>7889816</v>
      </c>
      <c r="E110">
        <v>1087873</v>
      </c>
      <c r="F110">
        <v>1003079</v>
      </c>
      <c r="G110">
        <v>564563</v>
      </c>
      <c r="H110">
        <v>430980</v>
      </c>
      <c r="I110">
        <v>133583</v>
      </c>
      <c r="J110">
        <v>213206</v>
      </c>
      <c r="K110" s="4">
        <f t="shared" si="8"/>
        <v>0.21255155376595464</v>
      </c>
      <c r="L110">
        <v>15513</v>
      </c>
      <c r="M110" s="4">
        <f t="shared" si="11"/>
        <v>7.2760616492969235E-2</v>
      </c>
      <c r="N110">
        <v>197693</v>
      </c>
      <c r="O110" s="4">
        <f t="shared" si="12"/>
        <v>0.92723938350703072</v>
      </c>
      <c r="P110">
        <v>225310</v>
      </c>
    </row>
    <row r="111" spans="1:16" x14ac:dyDescent="0.3">
      <c r="A111" t="s">
        <v>5</v>
      </c>
      <c r="B111" s="3">
        <v>46054</v>
      </c>
      <c r="C111">
        <v>1044511</v>
      </c>
      <c r="D111">
        <v>659429</v>
      </c>
      <c r="E111">
        <v>92499</v>
      </c>
      <c r="F111">
        <v>89314</v>
      </c>
      <c r="G111">
        <v>71476</v>
      </c>
      <c r="H111">
        <v>53032</v>
      </c>
      <c r="I111">
        <v>18444</v>
      </c>
      <c r="J111">
        <v>15558</v>
      </c>
      <c r="K111" s="4">
        <f t="shared" si="8"/>
        <v>0.17419441520926171</v>
      </c>
      <c r="L111">
        <v>6018</v>
      </c>
      <c r="M111" s="4">
        <f t="shared" si="11"/>
        <v>0.38681064404165061</v>
      </c>
      <c r="N111">
        <v>9540</v>
      </c>
      <c r="O111" s="4">
        <f t="shared" si="12"/>
        <v>0.61318935595834945</v>
      </c>
      <c r="P111">
        <v>2280</v>
      </c>
    </row>
    <row r="112" spans="1:16" x14ac:dyDescent="0.3">
      <c r="A112" t="s">
        <v>6</v>
      </c>
      <c r="B112" s="3">
        <v>46054</v>
      </c>
      <c r="C112">
        <v>877669</v>
      </c>
      <c r="D112">
        <v>539132</v>
      </c>
      <c r="E112">
        <v>101908</v>
      </c>
      <c r="F112">
        <v>100412</v>
      </c>
      <c r="G112">
        <v>89487</v>
      </c>
      <c r="H112">
        <v>85009</v>
      </c>
      <c r="I112">
        <v>4478</v>
      </c>
      <c r="J112">
        <v>7361</v>
      </c>
      <c r="K112" s="4">
        <f t="shared" si="8"/>
        <v>7.3307971158825633E-2</v>
      </c>
      <c r="L112">
        <v>3982</v>
      </c>
      <c r="M112" s="4">
        <f t="shared" si="11"/>
        <v>0.54095910881673681</v>
      </c>
      <c r="N112">
        <v>3379</v>
      </c>
      <c r="O112" s="4">
        <f t="shared" si="12"/>
        <v>0.45904089118326313</v>
      </c>
      <c r="P112">
        <v>3564</v>
      </c>
    </row>
    <row r="113" spans="1:16" x14ac:dyDescent="0.3">
      <c r="A113" t="s">
        <v>7</v>
      </c>
      <c r="B113" s="3">
        <v>46054</v>
      </c>
      <c r="C113">
        <v>223016</v>
      </c>
      <c r="D113">
        <v>145498</v>
      </c>
      <c r="E113">
        <v>18174</v>
      </c>
      <c r="F113">
        <v>18682</v>
      </c>
      <c r="G113">
        <v>16249</v>
      </c>
      <c r="H113">
        <v>15658</v>
      </c>
      <c r="I113">
        <v>591</v>
      </c>
      <c r="J113">
        <v>1572</v>
      </c>
      <c r="K113" s="4">
        <f t="shared" si="8"/>
        <v>8.414516647039931E-2</v>
      </c>
      <c r="L113">
        <v>41</v>
      </c>
      <c r="M113" s="4">
        <f t="shared" si="11"/>
        <v>2.6081424936386769E-2</v>
      </c>
      <c r="N113">
        <v>1531</v>
      </c>
      <c r="O113" s="4">
        <f t="shared" si="12"/>
        <v>0.97391857506361323</v>
      </c>
      <c r="P113">
        <v>861</v>
      </c>
    </row>
    <row r="114" spans="1:16" x14ac:dyDescent="0.3">
      <c r="A114" t="s">
        <v>8</v>
      </c>
      <c r="B114" s="3">
        <v>46054</v>
      </c>
      <c r="C114">
        <v>224335</v>
      </c>
      <c r="D114">
        <v>132700</v>
      </c>
      <c r="E114">
        <v>19890</v>
      </c>
      <c r="F114">
        <v>19732</v>
      </c>
      <c r="G114">
        <v>13467</v>
      </c>
      <c r="H114">
        <v>9585</v>
      </c>
      <c r="I114">
        <v>3882</v>
      </c>
      <c r="J114">
        <v>5944</v>
      </c>
      <c r="K114" s="4">
        <f t="shared" si="8"/>
        <v>0.30123657003851612</v>
      </c>
      <c r="L114">
        <v>1802</v>
      </c>
      <c r="M114" s="4">
        <f t="shared" si="11"/>
        <v>0.3031628532974428</v>
      </c>
      <c r="N114">
        <v>4142</v>
      </c>
      <c r="O114" s="4">
        <f t="shared" si="12"/>
        <v>0.69683714670255725</v>
      </c>
      <c r="P114">
        <v>321</v>
      </c>
    </row>
    <row r="115" spans="1:16" x14ac:dyDescent="0.3">
      <c r="A115" t="s">
        <v>9</v>
      </c>
      <c r="B115" s="3">
        <v>46054</v>
      </c>
      <c r="C115">
        <v>3414969</v>
      </c>
      <c r="D115">
        <v>1276368</v>
      </c>
      <c r="E115">
        <v>190674</v>
      </c>
      <c r="F115">
        <v>197339</v>
      </c>
      <c r="G115">
        <v>120208</v>
      </c>
      <c r="H115">
        <v>46790</v>
      </c>
      <c r="I115">
        <v>73418</v>
      </c>
      <c r="J115">
        <v>36593</v>
      </c>
      <c r="K115" s="4">
        <f t="shared" si="8"/>
        <v>0.18543217508956669</v>
      </c>
      <c r="L115">
        <v>15187</v>
      </c>
      <c r="M115" s="4">
        <f t="shared" si="11"/>
        <v>0.41502473150602576</v>
      </c>
      <c r="N115">
        <v>21406</v>
      </c>
      <c r="O115" s="4">
        <f t="shared" si="12"/>
        <v>0.5849752684939743</v>
      </c>
      <c r="P115">
        <v>40538</v>
      </c>
    </row>
    <row r="116" spans="1:16" x14ac:dyDescent="0.3">
      <c r="A116" t="s">
        <v>10</v>
      </c>
      <c r="B116" s="3">
        <v>46054</v>
      </c>
      <c r="C116">
        <v>1659357</v>
      </c>
      <c r="D116">
        <v>545600</v>
      </c>
      <c r="E116">
        <v>148723</v>
      </c>
      <c r="F116">
        <v>207977</v>
      </c>
      <c r="G116">
        <v>136054</v>
      </c>
      <c r="H116">
        <v>110968</v>
      </c>
      <c r="I116">
        <v>25086</v>
      </c>
      <c r="J116">
        <v>54176</v>
      </c>
      <c r="K116" s="4">
        <f t="shared" si="8"/>
        <v>0.26049034268212351</v>
      </c>
      <c r="L116">
        <v>26450</v>
      </c>
      <c r="M116" s="4">
        <f t="shared" si="11"/>
        <v>0.48822356763142349</v>
      </c>
      <c r="N116">
        <v>27726</v>
      </c>
      <c r="O116" s="4">
        <f t="shared" si="12"/>
        <v>0.51177643236857651</v>
      </c>
      <c r="P116">
        <v>17747</v>
      </c>
    </row>
    <row r="117" spans="1:16" x14ac:dyDescent="0.3">
      <c r="A117" t="s">
        <v>11</v>
      </c>
      <c r="B117" s="3">
        <v>46054</v>
      </c>
      <c r="C117">
        <v>361658</v>
      </c>
      <c r="D117">
        <v>233661</v>
      </c>
      <c r="E117">
        <v>23748</v>
      </c>
      <c r="F117">
        <v>18463</v>
      </c>
      <c r="G117">
        <v>14810</v>
      </c>
      <c r="H117">
        <v>10444</v>
      </c>
      <c r="I117">
        <v>4366</v>
      </c>
      <c r="J117">
        <v>2892</v>
      </c>
      <c r="K117" s="4">
        <f t="shared" si="8"/>
        <v>0.15663759952337106</v>
      </c>
      <c r="L117">
        <v>595</v>
      </c>
      <c r="M117" s="4">
        <f t="shared" si="11"/>
        <v>0.2057399723374827</v>
      </c>
      <c r="N117">
        <v>2297</v>
      </c>
      <c r="O117" s="4">
        <f t="shared" si="12"/>
        <v>0.79426002766251724</v>
      </c>
      <c r="P117">
        <v>761</v>
      </c>
    </row>
    <row r="118" spans="1:16" x14ac:dyDescent="0.3">
      <c r="A118" t="s">
        <v>12</v>
      </c>
      <c r="B118" s="3">
        <v>46054</v>
      </c>
      <c r="C118">
        <v>585321</v>
      </c>
      <c r="D118">
        <v>338642</v>
      </c>
      <c r="E118">
        <v>58912</v>
      </c>
      <c r="F118">
        <v>56221</v>
      </c>
      <c r="G118">
        <v>41853</v>
      </c>
      <c r="H118">
        <v>30409</v>
      </c>
      <c r="I118">
        <v>11444</v>
      </c>
      <c r="J118">
        <v>6182</v>
      </c>
      <c r="K118" s="4">
        <f t="shared" si="8"/>
        <v>0.10995891215026414</v>
      </c>
      <c r="L118">
        <v>1528</v>
      </c>
      <c r="M118" s="4">
        <f t="shared" si="11"/>
        <v>0.2471692009058557</v>
      </c>
      <c r="N118">
        <v>4654</v>
      </c>
      <c r="O118" s="4">
        <f t="shared" si="12"/>
        <v>0.7528307990941443</v>
      </c>
      <c r="P118">
        <v>8186</v>
      </c>
    </row>
    <row r="119" spans="1:16" x14ac:dyDescent="0.3">
      <c r="A119" t="s">
        <v>13</v>
      </c>
      <c r="B119" s="3">
        <v>46054</v>
      </c>
      <c r="C119">
        <v>291471</v>
      </c>
      <c r="D119">
        <v>159987</v>
      </c>
      <c r="E119">
        <v>22141</v>
      </c>
      <c r="F119">
        <v>11646</v>
      </c>
      <c r="G119">
        <v>11112</v>
      </c>
      <c r="H119">
        <v>11063</v>
      </c>
      <c r="I119">
        <v>49</v>
      </c>
      <c r="J119">
        <v>511</v>
      </c>
      <c r="K119" s="4">
        <f t="shared" si="8"/>
        <v>4.3877726257942638E-2</v>
      </c>
      <c r="L119">
        <v>462</v>
      </c>
      <c r="M119" s="4">
        <f t="shared" si="11"/>
        <v>0.90410958904109584</v>
      </c>
      <c r="N119">
        <v>49</v>
      </c>
      <c r="O119" s="4">
        <f t="shared" si="12"/>
        <v>9.5890410958904104E-2</v>
      </c>
      <c r="P119">
        <v>23</v>
      </c>
    </row>
    <row r="120" spans="1:16" x14ac:dyDescent="0.3">
      <c r="A120" t="s">
        <v>14</v>
      </c>
      <c r="B120" s="3">
        <v>46054</v>
      </c>
      <c r="C120">
        <v>2666845</v>
      </c>
      <c r="D120">
        <v>1642847</v>
      </c>
      <c r="E120">
        <v>202881</v>
      </c>
      <c r="F120">
        <v>216487</v>
      </c>
      <c r="G120">
        <v>165688</v>
      </c>
      <c r="H120">
        <v>134274</v>
      </c>
      <c r="I120">
        <v>31414</v>
      </c>
      <c r="J120">
        <v>28795</v>
      </c>
      <c r="K120" s="4">
        <f t="shared" si="8"/>
        <v>0.13301029623025862</v>
      </c>
      <c r="L120">
        <v>5406</v>
      </c>
      <c r="M120" s="4">
        <f t="shared" si="11"/>
        <v>0.18774092724431324</v>
      </c>
      <c r="N120">
        <v>23389</v>
      </c>
      <c r="O120" s="4">
        <f t="shared" si="12"/>
        <v>0.81225907275568676</v>
      </c>
      <c r="P120">
        <v>22004</v>
      </c>
    </row>
    <row r="121" spans="1:16" x14ac:dyDescent="0.3">
      <c r="A121" t="s">
        <v>15</v>
      </c>
      <c r="B121" s="3">
        <v>46054</v>
      </c>
      <c r="C121">
        <v>1317985</v>
      </c>
      <c r="D121">
        <v>754725</v>
      </c>
      <c r="E121">
        <v>103975</v>
      </c>
      <c r="F121">
        <v>115539</v>
      </c>
      <c r="G121">
        <v>30628</v>
      </c>
      <c r="H121">
        <v>20432</v>
      </c>
      <c r="I121">
        <v>10196</v>
      </c>
      <c r="J121">
        <v>53708</v>
      </c>
      <c r="K121" s="4">
        <f t="shared" si="8"/>
        <v>0.46484736755554401</v>
      </c>
      <c r="L121">
        <v>1142</v>
      </c>
      <c r="M121" s="4">
        <f t="shared" si="11"/>
        <v>2.1263126536084011E-2</v>
      </c>
      <c r="N121">
        <v>52566</v>
      </c>
      <c r="O121" s="4">
        <f t="shared" si="12"/>
        <v>0.97873687346391602</v>
      </c>
      <c r="P121">
        <v>31203</v>
      </c>
    </row>
    <row r="122" spans="1:16" x14ac:dyDescent="0.3">
      <c r="A122" t="s">
        <v>16</v>
      </c>
      <c r="B122" s="3">
        <v>46054</v>
      </c>
      <c r="C122">
        <v>324334</v>
      </c>
      <c r="D122">
        <v>121010</v>
      </c>
      <c r="E122">
        <v>30165</v>
      </c>
      <c r="F122">
        <v>25992</v>
      </c>
      <c r="G122">
        <v>20392</v>
      </c>
      <c r="H122">
        <v>11883</v>
      </c>
      <c r="I122">
        <v>8509</v>
      </c>
      <c r="J122">
        <v>4867</v>
      </c>
      <c r="K122" s="4">
        <f t="shared" si="8"/>
        <v>0.18724992305324714</v>
      </c>
      <c r="L122">
        <v>2919</v>
      </c>
      <c r="M122" s="4">
        <f t="shared" si="11"/>
        <v>0.59975344154509969</v>
      </c>
      <c r="N122">
        <v>1948</v>
      </c>
      <c r="O122" s="4">
        <f t="shared" si="12"/>
        <v>0.40024655845490037</v>
      </c>
      <c r="P122">
        <v>733</v>
      </c>
    </row>
    <row r="123" spans="1:16" x14ac:dyDescent="0.3">
      <c r="A123" t="s">
        <v>17</v>
      </c>
      <c r="B123" s="3">
        <v>46054</v>
      </c>
      <c r="C123">
        <v>1176615</v>
      </c>
      <c r="D123">
        <v>718768</v>
      </c>
      <c r="E123">
        <v>158568</v>
      </c>
      <c r="F123">
        <v>139700</v>
      </c>
      <c r="G123">
        <v>120604</v>
      </c>
      <c r="H123">
        <v>108463</v>
      </c>
      <c r="I123">
        <v>12141</v>
      </c>
      <c r="J123">
        <v>18338</v>
      </c>
      <c r="K123" s="4">
        <f t="shared" si="8"/>
        <v>0.13126700071581962</v>
      </c>
      <c r="L123">
        <v>4911</v>
      </c>
      <c r="M123" s="4">
        <f t="shared" si="11"/>
        <v>0.26780455883956811</v>
      </c>
      <c r="N123">
        <v>13427</v>
      </c>
      <c r="O123" s="4">
        <f t="shared" si="12"/>
        <v>0.73219544116043189</v>
      </c>
      <c r="P123">
        <v>758</v>
      </c>
    </row>
    <row r="124" spans="1:16" x14ac:dyDescent="0.3">
      <c r="A124" t="s">
        <v>18</v>
      </c>
      <c r="B124" s="3">
        <v>46054</v>
      </c>
      <c r="C124">
        <v>1231040</v>
      </c>
      <c r="D124">
        <v>696846</v>
      </c>
      <c r="E124">
        <v>129160</v>
      </c>
      <c r="F124">
        <v>143411</v>
      </c>
      <c r="G124">
        <v>70580</v>
      </c>
      <c r="H124">
        <v>49252</v>
      </c>
      <c r="I124">
        <v>21328</v>
      </c>
      <c r="J124">
        <v>50835</v>
      </c>
      <c r="K124" s="4">
        <f t="shared" si="8"/>
        <v>0.35447071703007438</v>
      </c>
      <c r="L124">
        <v>4799</v>
      </c>
      <c r="M124" s="4">
        <f t="shared" si="11"/>
        <v>9.4403462181567824E-2</v>
      </c>
      <c r="N124">
        <v>46036</v>
      </c>
      <c r="O124" s="4">
        <f t="shared" si="12"/>
        <v>0.90559653781843219</v>
      </c>
      <c r="P124">
        <v>21996</v>
      </c>
    </row>
    <row r="125" spans="1:16" x14ac:dyDescent="0.3">
      <c r="A125" t="s">
        <v>19</v>
      </c>
      <c r="B125" s="3">
        <v>46054</v>
      </c>
      <c r="C125">
        <v>1383816</v>
      </c>
      <c r="D125">
        <v>891561</v>
      </c>
      <c r="E125">
        <v>182022</v>
      </c>
      <c r="F125">
        <v>150458</v>
      </c>
      <c r="G125">
        <v>106933</v>
      </c>
      <c r="H125">
        <v>83169</v>
      </c>
      <c r="I125">
        <v>23764</v>
      </c>
      <c r="J125">
        <v>40688</v>
      </c>
      <c r="K125" s="4">
        <f t="shared" si="8"/>
        <v>0.2704276276435949</v>
      </c>
      <c r="L125">
        <v>16804</v>
      </c>
      <c r="M125" s="4">
        <f t="shared" si="11"/>
        <v>0.41299646087298464</v>
      </c>
      <c r="N125">
        <v>23884</v>
      </c>
      <c r="O125" s="4">
        <f t="shared" si="12"/>
        <v>0.58700353912701531</v>
      </c>
      <c r="P125">
        <v>2837</v>
      </c>
    </row>
    <row r="126" spans="1:16" x14ac:dyDescent="0.3">
      <c r="A126" t="s">
        <v>20</v>
      </c>
      <c r="B126" s="3">
        <v>46054</v>
      </c>
      <c r="C126">
        <v>1192846</v>
      </c>
      <c r="D126">
        <v>724090</v>
      </c>
      <c r="E126">
        <v>89884</v>
      </c>
      <c r="F126">
        <v>89169</v>
      </c>
      <c r="G126">
        <v>62231</v>
      </c>
      <c r="H126">
        <v>46844</v>
      </c>
      <c r="I126">
        <v>15387</v>
      </c>
      <c r="J126">
        <v>23330</v>
      </c>
      <c r="K126" s="4">
        <f t="shared" si="8"/>
        <v>0.26163801321086927</v>
      </c>
      <c r="L126">
        <v>2878</v>
      </c>
      <c r="M126" s="4">
        <f t="shared" si="11"/>
        <v>0.12336048006858123</v>
      </c>
      <c r="N126">
        <v>20452</v>
      </c>
      <c r="O126" s="4">
        <f t="shared" si="12"/>
        <v>0.87663951993141875</v>
      </c>
      <c r="P126">
        <v>3608</v>
      </c>
    </row>
    <row r="127" spans="1:16" x14ac:dyDescent="0.3">
      <c r="A127" t="s">
        <v>21</v>
      </c>
      <c r="B127" s="3">
        <v>46054</v>
      </c>
      <c r="C127">
        <v>312922</v>
      </c>
      <c r="D127">
        <v>195691</v>
      </c>
      <c r="E127">
        <v>34715</v>
      </c>
      <c r="F127">
        <v>32801</v>
      </c>
      <c r="G127">
        <v>26300</v>
      </c>
      <c r="H127">
        <v>24947</v>
      </c>
      <c r="I127">
        <v>1353</v>
      </c>
      <c r="J127">
        <v>2788</v>
      </c>
      <c r="K127" s="4">
        <f t="shared" si="8"/>
        <v>8.4997408615590991E-2</v>
      </c>
      <c r="L127">
        <v>336</v>
      </c>
      <c r="M127" s="4">
        <f t="shared" si="11"/>
        <v>0.12051649928263988</v>
      </c>
      <c r="N127">
        <v>2452</v>
      </c>
      <c r="O127" s="4">
        <f t="shared" si="12"/>
        <v>0.87948350071736014</v>
      </c>
      <c r="P127">
        <v>3713</v>
      </c>
    </row>
    <row r="128" spans="1:16" x14ac:dyDescent="0.3">
      <c r="A128" t="s">
        <v>22</v>
      </c>
      <c r="B128" s="3">
        <v>46054</v>
      </c>
      <c r="C128">
        <v>2027525</v>
      </c>
      <c r="D128">
        <v>1312579</v>
      </c>
      <c r="E128">
        <v>198401</v>
      </c>
      <c r="F128">
        <v>193979</v>
      </c>
      <c r="G128">
        <v>147702</v>
      </c>
      <c r="H128">
        <v>114784</v>
      </c>
      <c r="I128">
        <v>32918</v>
      </c>
      <c r="J128">
        <v>29772</v>
      </c>
      <c r="K128" s="4">
        <f t="shared" si="8"/>
        <v>0.15348053139772863</v>
      </c>
      <c r="L128">
        <v>4294</v>
      </c>
      <c r="M128" s="4">
        <f t="shared" si="11"/>
        <v>0.14422947736127906</v>
      </c>
      <c r="N128">
        <v>25478</v>
      </c>
      <c r="O128" s="4">
        <f t="shared" si="12"/>
        <v>0.855770522638721</v>
      </c>
      <c r="P128">
        <v>16505</v>
      </c>
    </row>
    <row r="129" spans="1:16" x14ac:dyDescent="0.3">
      <c r="A129" t="s">
        <v>23</v>
      </c>
      <c r="B129" s="3">
        <v>46054</v>
      </c>
      <c r="C129">
        <v>1131094</v>
      </c>
      <c r="D129">
        <v>539674</v>
      </c>
      <c r="E129">
        <v>91226</v>
      </c>
      <c r="F129">
        <v>97846</v>
      </c>
      <c r="G129">
        <v>80196</v>
      </c>
      <c r="H129">
        <v>70387</v>
      </c>
      <c r="I129">
        <v>9809</v>
      </c>
      <c r="J129">
        <v>17650</v>
      </c>
      <c r="K129" s="4">
        <f t="shared" si="8"/>
        <v>0.18038550375079207</v>
      </c>
      <c r="L129">
        <v>2447</v>
      </c>
      <c r="M129" s="4">
        <f t="shared" si="11"/>
        <v>0.13864022662889519</v>
      </c>
      <c r="N129">
        <v>15203</v>
      </c>
      <c r="O129" s="4">
        <f t="shared" si="12"/>
        <v>0.86135977337110481</v>
      </c>
      <c r="P129">
        <v>0</v>
      </c>
    </row>
    <row r="130" spans="1:16" x14ac:dyDescent="0.3">
      <c r="A130" t="s">
        <v>24</v>
      </c>
      <c r="B130" s="3">
        <v>46054</v>
      </c>
      <c r="C130">
        <v>1107774</v>
      </c>
      <c r="D130">
        <v>677501</v>
      </c>
      <c r="E130">
        <v>95193</v>
      </c>
      <c r="F130">
        <v>102702</v>
      </c>
      <c r="G130">
        <v>59597</v>
      </c>
      <c r="H130">
        <v>54247</v>
      </c>
      <c r="I130">
        <v>5350</v>
      </c>
      <c r="J130">
        <v>20379</v>
      </c>
      <c r="K130" s="4">
        <f t="shared" si="8"/>
        <v>0.19842846293158847</v>
      </c>
      <c r="L130">
        <v>1586</v>
      </c>
      <c r="M130" s="4">
        <f t="shared" si="11"/>
        <v>7.782521222827421E-2</v>
      </c>
      <c r="N130">
        <v>18793</v>
      </c>
      <c r="O130" s="4">
        <f t="shared" si="12"/>
        <v>0.92217478777172579</v>
      </c>
      <c r="P130">
        <v>22726</v>
      </c>
    </row>
    <row r="131" spans="1:16" x14ac:dyDescent="0.3">
      <c r="A131" t="s">
        <v>25</v>
      </c>
      <c r="B131" s="3">
        <v>46054</v>
      </c>
      <c r="C131">
        <v>503605</v>
      </c>
      <c r="D131">
        <v>195175</v>
      </c>
      <c r="E131">
        <v>41666</v>
      </c>
      <c r="F131">
        <v>43843</v>
      </c>
      <c r="G131">
        <v>37521</v>
      </c>
      <c r="H131">
        <v>22399</v>
      </c>
      <c r="I131">
        <v>15122</v>
      </c>
      <c r="J131">
        <v>6301</v>
      </c>
      <c r="K131" s="4">
        <f t="shared" ref="K131:K156" si="13">J131/F131</f>
        <v>0.14371735510799899</v>
      </c>
      <c r="L131">
        <v>1146</v>
      </c>
      <c r="M131" s="4">
        <f t="shared" si="11"/>
        <v>0.18187589271544199</v>
      </c>
      <c r="N131">
        <v>5155</v>
      </c>
      <c r="O131" s="4">
        <f t="shared" si="12"/>
        <v>0.81812410728455798</v>
      </c>
      <c r="P131">
        <v>21</v>
      </c>
    </row>
    <row r="132" spans="1:16" x14ac:dyDescent="0.3">
      <c r="A132" t="s">
        <v>26</v>
      </c>
      <c r="B132" s="3">
        <v>46054</v>
      </c>
      <c r="C132">
        <v>188346</v>
      </c>
      <c r="D132">
        <v>118896</v>
      </c>
      <c r="E132">
        <v>17851</v>
      </c>
      <c r="F132">
        <v>16021</v>
      </c>
      <c r="G132">
        <v>9221</v>
      </c>
      <c r="H132">
        <v>7018</v>
      </c>
      <c r="I132">
        <v>2203</v>
      </c>
      <c r="J132">
        <v>3146</v>
      </c>
      <c r="K132" s="4">
        <f t="shared" si="13"/>
        <v>0.19636726796080145</v>
      </c>
      <c r="L132">
        <v>793</v>
      </c>
      <c r="M132" s="4">
        <f t="shared" si="11"/>
        <v>0.25206611570247933</v>
      </c>
      <c r="N132">
        <v>2353</v>
      </c>
      <c r="O132" s="4">
        <f t="shared" si="12"/>
        <v>0.74793388429752061</v>
      </c>
      <c r="P132">
        <v>3654</v>
      </c>
    </row>
    <row r="133" spans="1:16" x14ac:dyDescent="0.3">
      <c r="A133" t="s">
        <v>27</v>
      </c>
      <c r="B133" s="3">
        <v>46054</v>
      </c>
      <c r="C133">
        <v>2503652</v>
      </c>
      <c r="D133">
        <v>1447256</v>
      </c>
      <c r="E133">
        <v>279757</v>
      </c>
      <c r="F133">
        <v>280835</v>
      </c>
      <c r="G133">
        <v>174428</v>
      </c>
      <c r="H133">
        <v>173521</v>
      </c>
      <c r="I133">
        <v>907</v>
      </c>
      <c r="J133">
        <v>18117</v>
      </c>
      <c r="K133" s="4">
        <f t="shared" si="13"/>
        <v>6.451118984457066E-2</v>
      </c>
      <c r="L133">
        <v>7331</v>
      </c>
      <c r="M133" s="4">
        <f t="shared" si="11"/>
        <v>0.4046475685819948</v>
      </c>
      <c r="N133">
        <v>10786</v>
      </c>
      <c r="O133" s="4">
        <f t="shared" si="12"/>
        <v>0.5953524314180052</v>
      </c>
      <c r="P133">
        <v>88290</v>
      </c>
    </row>
    <row r="134" spans="1:16" x14ac:dyDescent="0.3">
      <c r="A134" t="s">
        <v>28</v>
      </c>
      <c r="B134" s="3">
        <v>46054</v>
      </c>
      <c r="C134">
        <v>98345</v>
      </c>
      <c r="D134">
        <v>53039</v>
      </c>
      <c r="E134">
        <v>8851</v>
      </c>
      <c r="F134">
        <v>8417</v>
      </c>
      <c r="G134">
        <v>4593</v>
      </c>
      <c r="H134">
        <v>3073</v>
      </c>
      <c r="I134">
        <v>1520</v>
      </c>
      <c r="J134">
        <v>1520</v>
      </c>
      <c r="K134" s="4">
        <f t="shared" si="13"/>
        <v>0.18058690744920994</v>
      </c>
      <c r="L134">
        <v>351</v>
      </c>
      <c r="M134" s="4">
        <f t="shared" si="11"/>
        <v>0.23092105263157894</v>
      </c>
      <c r="N134">
        <v>1169</v>
      </c>
      <c r="O134" s="4">
        <f t="shared" si="12"/>
        <v>0.76907894736842108</v>
      </c>
      <c r="P134">
        <v>2304</v>
      </c>
    </row>
    <row r="135" spans="1:16" x14ac:dyDescent="0.3">
      <c r="A135" t="s">
        <v>29</v>
      </c>
      <c r="B135" s="3">
        <v>46054</v>
      </c>
      <c r="C135">
        <v>296393</v>
      </c>
      <c r="D135">
        <v>162355</v>
      </c>
      <c r="E135">
        <v>21798</v>
      </c>
      <c r="F135">
        <v>24733</v>
      </c>
      <c r="G135">
        <v>17557</v>
      </c>
      <c r="H135">
        <v>15348</v>
      </c>
      <c r="I135">
        <v>2209</v>
      </c>
      <c r="J135">
        <v>4008</v>
      </c>
      <c r="K135" s="4">
        <f t="shared" si="13"/>
        <v>0.16205070149193385</v>
      </c>
      <c r="L135">
        <v>2239</v>
      </c>
      <c r="M135" s="4">
        <f t="shared" si="11"/>
        <v>0.55863273453093809</v>
      </c>
      <c r="N135">
        <v>1769</v>
      </c>
      <c r="O135" s="4">
        <f t="shared" si="12"/>
        <v>0.44136726546906185</v>
      </c>
      <c r="P135">
        <v>3168</v>
      </c>
    </row>
    <row r="136" spans="1:16" x14ac:dyDescent="0.3">
      <c r="A136" t="s">
        <v>30</v>
      </c>
      <c r="B136" s="3">
        <v>46054</v>
      </c>
      <c r="C136">
        <v>153037</v>
      </c>
      <c r="D136">
        <v>86841</v>
      </c>
      <c r="E136">
        <v>11424</v>
      </c>
      <c r="F136">
        <v>10859</v>
      </c>
      <c r="G136">
        <v>6979</v>
      </c>
      <c r="H136">
        <v>4211</v>
      </c>
      <c r="I136">
        <v>2768</v>
      </c>
      <c r="J136">
        <v>2995</v>
      </c>
      <c r="K136" s="4">
        <f t="shared" si="13"/>
        <v>0.27580808545906621</v>
      </c>
      <c r="L136">
        <v>376</v>
      </c>
      <c r="M136" s="4">
        <f t="shared" si="11"/>
        <v>0.12554257095158597</v>
      </c>
      <c r="N136">
        <v>2619</v>
      </c>
      <c r="O136" s="4">
        <f t="shared" si="12"/>
        <v>0.87445742904841406</v>
      </c>
      <c r="P136">
        <v>885</v>
      </c>
    </row>
    <row r="137" spans="1:16" x14ac:dyDescent="0.3">
      <c r="A137" t="s">
        <v>31</v>
      </c>
      <c r="B137" s="3">
        <v>46054</v>
      </c>
      <c r="C137">
        <v>1482629</v>
      </c>
      <c r="D137">
        <v>937738</v>
      </c>
      <c r="E137">
        <v>164097</v>
      </c>
      <c r="F137">
        <v>103151</v>
      </c>
      <c r="G137">
        <v>45147</v>
      </c>
      <c r="H137">
        <v>33507</v>
      </c>
      <c r="I137">
        <v>11640</v>
      </c>
      <c r="J137">
        <v>16599</v>
      </c>
      <c r="K137" s="4">
        <f t="shared" si="13"/>
        <v>0.16091942879855745</v>
      </c>
      <c r="L137">
        <v>2896</v>
      </c>
      <c r="M137" s="4">
        <f t="shared" si="11"/>
        <v>0.1744683414663534</v>
      </c>
      <c r="N137">
        <v>13703</v>
      </c>
      <c r="O137" s="4">
        <f t="shared" si="12"/>
        <v>0.82553165853364663</v>
      </c>
      <c r="P137">
        <v>41405</v>
      </c>
    </row>
    <row r="138" spans="1:16" x14ac:dyDescent="0.3">
      <c r="A138" t="s">
        <v>32</v>
      </c>
      <c r="B138" s="3">
        <v>46054</v>
      </c>
      <c r="C138">
        <v>636198</v>
      </c>
      <c r="D138">
        <v>372788</v>
      </c>
      <c r="E138">
        <v>38907</v>
      </c>
      <c r="F138">
        <v>36332</v>
      </c>
      <c r="G138">
        <v>27125</v>
      </c>
      <c r="H138">
        <v>19266</v>
      </c>
      <c r="I138">
        <v>7859</v>
      </c>
      <c r="J138">
        <v>8366</v>
      </c>
      <c r="K138" s="4">
        <f t="shared" si="13"/>
        <v>0.23026533083782891</v>
      </c>
      <c r="L138">
        <v>851</v>
      </c>
      <c r="M138" s="4">
        <f t="shared" si="11"/>
        <v>0.10172125268945732</v>
      </c>
      <c r="N138">
        <v>7515</v>
      </c>
      <c r="O138" s="4">
        <f t="shared" si="12"/>
        <v>0.89827874731054269</v>
      </c>
      <c r="P138">
        <v>841</v>
      </c>
    </row>
    <row r="139" spans="1:16" x14ac:dyDescent="0.3">
      <c r="A139" t="s">
        <v>33</v>
      </c>
      <c r="B139" s="3">
        <v>46054</v>
      </c>
      <c r="C139">
        <v>680222</v>
      </c>
      <c r="D139">
        <v>412490</v>
      </c>
      <c r="E139">
        <v>88903</v>
      </c>
      <c r="F139">
        <v>65012</v>
      </c>
      <c r="G139">
        <v>55069</v>
      </c>
      <c r="H139">
        <v>51911</v>
      </c>
      <c r="I139">
        <v>3158</v>
      </c>
      <c r="J139">
        <v>8059</v>
      </c>
      <c r="K139" s="4">
        <f t="shared" si="13"/>
        <v>0.12396173014212761</v>
      </c>
      <c r="L139">
        <v>1489</v>
      </c>
      <c r="M139" s="4">
        <f t="shared" si="11"/>
        <v>0.18476237746618687</v>
      </c>
      <c r="N139">
        <v>6570</v>
      </c>
      <c r="O139" s="4">
        <f t="shared" si="12"/>
        <v>0.81523762253381316</v>
      </c>
      <c r="P139">
        <v>1884</v>
      </c>
    </row>
    <row r="140" spans="1:16" x14ac:dyDescent="0.3">
      <c r="A140" t="s">
        <v>34</v>
      </c>
      <c r="B140" s="3">
        <v>46054</v>
      </c>
      <c r="C140">
        <v>5765633</v>
      </c>
      <c r="D140">
        <v>3989467</v>
      </c>
      <c r="E140">
        <v>381082</v>
      </c>
      <c r="F140">
        <v>422146</v>
      </c>
      <c r="G140">
        <v>290118</v>
      </c>
      <c r="H140">
        <v>107136</v>
      </c>
      <c r="I140">
        <v>182982</v>
      </c>
      <c r="J140">
        <v>124754</v>
      </c>
      <c r="K140" s="4">
        <f t="shared" si="13"/>
        <v>0.29552334974155858</v>
      </c>
      <c r="L140">
        <v>44057</v>
      </c>
      <c r="M140" s="4">
        <f t="shared" si="11"/>
        <v>0.35315100117030318</v>
      </c>
      <c r="N140">
        <v>80697</v>
      </c>
      <c r="O140" s="4">
        <f t="shared" si="12"/>
        <v>0.64684899882969682</v>
      </c>
      <c r="P140">
        <v>7274</v>
      </c>
    </row>
    <row r="141" spans="1:16" x14ac:dyDescent="0.3">
      <c r="A141" t="s">
        <v>35</v>
      </c>
      <c r="B141" s="3">
        <v>46054</v>
      </c>
      <c r="C141">
        <v>2439802</v>
      </c>
      <c r="D141">
        <v>1528482</v>
      </c>
      <c r="E141">
        <v>217059</v>
      </c>
      <c r="F141">
        <v>244840</v>
      </c>
      <c r="G141">
        <v>159118</v>
      </c>
      <c r="H141">
        <v>123679</v>
      </c>
      <c r="I141">
        <v>35439</v>
      </c>
      <c r="J141">
        <v>52429</v>
      </c>
      <c r="K141" s="4">
        <f t="shared" si="13"/>
        <v>0.21413576213037086</v>
      </c>
      <c r="L141">
        <v>4560</v>
      </c>
      <c r="M141" s="4">
        <f t="shared" si="11"/>
        <v>8.6974765873848447E-2</v>
      </c>
      <c r="N141">
        <v>47869</v>
      </c>
      <c r="O141" s="4">
        <f t="shared" si="12"/>
        <v>0.91302523412615155</v>
      </c>
      <c r="P141">
        <v>33293</v>
      </c>
    </row>
    <row r="142" spans="1:16" x14ac:dyDescent="0.3">
      <c r="A142" t="s">
        <v>36</v>
      </c>
      <c r="B142" s="3">
        <v>46054</v>
      </c>
      <c r="C142">
        <v>890835</v>
      </c>
      <c r="D142">
        <v>467784</v>
      </c>
      <c r="E142">
        <v>65790</v>
      </c>
      <c r="F142">
        <v>63713</v>
      </c>
      <c r="G142">
        <v>32738</v>
      </c>
      <c r="H142">
        <v>25041</v>
      </c>
      <c r="I142">
        <v>7697</v>
      </c>
      <c r="J142">
        <v>26762</v>
      </c>
      <c r="K142" s="4">
        <f t="shared" si="13"/>
        <v>0.42003986627532841</v>
      </c>
      <c r="L142">
        <v>4113</v>
      </c>
      <c r="M142" s="4">
        <f t="shared" si="11"/>
        <v>0.15368806516702788</v>
      </c>
      <c r="N142">
        <v>22649</v>
      </c>
      <c r="O142" s="4">
        <f t="shared" si="12"/>
        <v>0.84631193483297218</v>
      </c>
      <c r="P142">
        <v>4213</v>
      </c>
    </row>
    <row r="143" spans="1:16" x14ac:dyDescent="0.3">
      <c r="A143" t="s">
        <v>37</v>
      </c>
      <c r="B143" s="3">
        <v>46054</v>
      </c>
      <c r="C143">
        <v>1106086</v>
      </c>
      <c r="D143">
        <v>819381</v>
      </c>
      <c r="E143">
        <v>72894</v>
      </c>
      <c r="F143">
        <v>78941</v>
      </c>
      <c r="G143">
        <v>62806</v>
      </c>
      <c r="H143">
        <v>50981</v>
      </c>
      <c r="I143">
        <v>11825</v>
      </c>
      <c r="J143">
        <v>15872</v>
      </c>
      <c r="K143" s="4">
        <f t="shared" si="13"/>
        <v>0.20106155229855208</v>
      </c>
      <c r="L143">
        <v>4944</v>
      </c>
      <c r="M143" s="4">
        <f t="shared" si="11"/>
        <v>0.31149193548387094</v>
      </c>
      <c r="N143">
        <v>10928</v>
      </c>
      <c r="O143" s="4">
        <f t="shared" si="12"/>
        <v>0.688508064516129</v>
      </c>
      <c r="P143">
        <v>263</v>
      </c>
    </row>
    <row r="144" spans="1:16" x14ac:dyDescent="0.3">
      <c r="A144" t="s">
        <v>38</v>
      </c>
      <c r="B144" s="3">
        <v>46054</v>
      </c>
      <c r="C144">
        <v>2715845</v>
      </c>
      <c r="D144">
        <v>1588735</v>
      </c>
      <c r="E144">
        <v>214310</v>
      </c>
      <c r="F144">
        <v>219691</v>
      </c>
      <c r="G144">
        <v>112032</v>
      </c>
      <c r="H144">
        <v>41470</v>
      </c>
      <c r="I144">
        <v>70562</v>
      </c>
      <c r="J144">
        <v>25846</v>
      </c>
      <c r="K144" s="4">
        <f t="shared" si="13"/>
        <v>0.11764705882352941</v>
      </c>
      <c r="L144">
        <v>15093</v>
      </c>
      <c r="M144" s="4">
        <f t="shared" si="11"/>
        <v>0.58395883308829222</v>
      </c>
      <c r="N144">
        <v>10753</v>
      </c>
      <c r="O144" s="4">
        <f t="shared" si="12"/>
        <v>0.41604116691170778</v>
      </c>
      <c r="P144">
        <v>81813</v>
      </c>
    </row>
    <row r="145" spans="1:16" x14ac:dyDescent="0.3">
      <c r="A145" t="s">
        <v>39</v>
      </c>
      <c r="B145" s="3">
        <v>46054</v>
      </c>
      <c r="C145">
        <v>251044</v>
      </c>
      <c r="D145">
        <v>172939</v>
      </c>
      <c r="E145">
        <v>12902</v>
      </c>
      <c r="F145">
        <v>14531</v>
      </c>
      <c r="G145">
        <v>12060</v>
      </c>
      <c r="H145">
        <v>11220</v>
      </c>
      <c r="I145">
        <v>840</v>
      </c>
      <c r="J145">
        <v>2381</v>
      </c>
      <c r="K145" s="4">
        <f t="shared" si="13"/>
        <v>0.16385658247883836</v>
      </c>
      <c r="L145">
        <v>800</v>
      </c>
      <c r="M145" s="4">
        <f t="shared" si="11"/>
        <v>0.33599328013439733</v>
      </c>
      <c r="N145">
        <v>1581</v>
      </c>
      <c r="O145" s="4">
        <f t="shared" si="12"/>
        <v>0.66400671986560267</v>
      </c>
      <c r="P145">
        <v>90</v>
      </c>
    </row>
    <row r="146" spans="1:16" x14ac:dyDescent="0.3">
      <c r="A146" t="s">
        <v>40</v>
      </c>
      <c r="B146" s="3">
        <v>46054</v>
      </c>
      <c r="C146">
        <v>853622</v>
      </c>
      <c r="D146">
        <v>367361</v>
      </c>
      <c r="E146">
        <v>85471</v>
      </c>
      <c r="F146">
        <v>96863</v>
      </c>
      <c r="G146">
        <v>72268</v>
      </c>
      <c r="H146">
        <v>63299</v>
      </c>
      <c r="I146">
        <v>8969</v>
      </c>
      <c r="J146">
        <v>23307</v>
      </c>
      <c r="K146" s="4">
        <f t="shared" si="13"/>
        <v>0.24061819270516091</v>
      </c>
      <c r="L146">
        <v>18174</v>
      </c>
      <c r="M146" s="4">
        <f t="shared" si="11"/>
        <v>0.77976573561590934</v>
      </c>
      <c r="N146">
        <v>5133</v>
      </c>
      <c r="O146" s="4">
        <f t="shared" si="12"/>
        <v>0.22023426438409061</v>
      </c>
      <c r="P146">
        <v>1288</v>
      </c>
    </row>
    <row r="147" spans="1:16" x14ac:dyDescent="0.3">
      <c r="A147" t="s">
        <v>41</v>
      </c>
      <c r="B147" s="3">
        <v>46054</v>
      </c>
      <c r="C147">
        <v>122936</v>
      </c>
      <c r="D147">
        <v>60957</v>
      </c>
      <c r="E147">
        <v>12543</v>
      </c>
      <c r="F147">
        <v>11446</v>
      </c>
      <c r="G147">
        <v>9112</v>
      </c>
      <c r="H147">
        <v>6616</v>
      </c>
      <c r="I147">
        <v>2496</v>
      </c>
      <c r="J147">
        <v>1995</v>
      </c>
      <c r="K147" s="4">
        <f t="shared" si="13"/>
        <v>0.17429669753625721</v>
      </c>
      <c r="L147">
        <v>313</v>
      </c>
      <c r="M147" s="4">
        <f t="shared" si="11"/>
        <v>0.15689223057644111</v>
      </c>
      <c r="N147">
        <v>1682</v>
      </c>
      <c r="O147" s="4">
        <f t="shared" si="12"/>
        <v>0.84310776942355892</v>
      </c>
      <c r="P147">
        <v>339</v>
      </c>
    </row>
    <row r="148" spans="1:16" x14ac:dyDescent="0.3">
      <c r="A148" t="s">
        <v>42</v>
      </c>
      <c r="B148" s="3">
        <v>46054</v>
      </c>
      <c r="C148">
        <v>1223332</v>
      </c>
      <c r="D148">
        <v>572510</v>
      </c>
      <c r="E148">
        <v>89360</v>
      </c>
      <c r="F148">
        <v>58509</v>
      </c>
      <c r="G148">
        <v>50175</v>
      </c>
      <c r="H148">
        <v>36501</v>
      </c>
      <c r="I148">
        <v>13674</v>
      </c>
      <c r="J148">
        <v>8092</v>
      </c>
      <c r="K148" s="4">
        <f t="shared" si="13"/>
        <v>0.1383035088618845</v>
      </c>
      <c r="L148">
        <v>2715</v>
      </c>
      <c r="M148" s="4">
        <f t="shared" si="11"/>
        <v>0.33551655956500248</v>
      </c>
      <c r="N148">
        <v>5377</v>
      </c>
      <c r="O148" s="4">
        <f t="shared" si="12"/>
        <v>0.66448344043499752</v>
      </c>
      <c r="P148">
        <v>242</v>
      </c>
    </row>
    <row r="149" spans="1:16" x14ac:dyDescent="0.3">
      <c r="A149" t="s">
        <v>43</v>
      </c>
      <c r="B149" s="3">
        <v>46054</v>
      </c>
      <c r="C149">
        <v>3651928</v>
      </c>
      <c r="D149">
        <v>958807</v>
      </c>
      <c r="E149">
        <v>296959</v>
      </c>
      <c r="F149">
        <v>280915</v>
      </c>
      <c r="G149">
        <v>178258</v>
      </c>
      <c r="H149">
        <v>25411</v>
      </c>
      <c r="I149">
        <v>152847</v>
      </c>
      <c r="J149">
        <v>84163</v>
      </c>
      <c r="K149" s="4">
        <f t="shared" si="13"/>
        <v>0.29960308278304826</v>
      </c>
      <c r="L149">
        <v>28629</v>
      </c>
      <c r="M149" s="4">
        <f t="shared" si="11"/>
        <v>0.34016135356391763</v>
      </c>
      <c r="N149">
        <v>55534</v>
      </c>
      <c r="O149" s="4">
        <f t="shared" si="12"/>
        <v>0.65983864643608237</v>
      </c>
      <c r="P149">
        <v>18494</v>
      </c>
    </row>
    <row r="150" spans="1:16" x14ac:dyDescent="0.3">
      <c r="A150" t="s">
        <v>44</v>
      </c>
      <c r="B150" s="3">
        <v>46054</v>
      </c>
      <c r="C150">
        <v>291629</v>
      </c>
      <c r="D150">
        <v>162492</v>
      </c>
      <c r="E150">
        <v>25386</v>
      </c>
      <c r="F150">
        <v>30644</v>
      </c>
      <c r="G150">
        <v>16666</v>
      </c>
      <c r="H150">
        <v>11233</v>
      </c>
      <c r="I150">
        <v>5433</v>
      </c>
      <c r="J150">
        <v>8423</v>
      </c>
      <c r="K150" s="4">
        <f t="shared" si="13"/>
        <v>0.27486620545620677</v>
      </c>
      <c r="L150">
        <v>906</v>
      </c>
      <c r="M150" s="4">
        <f t="shared" si="11"/>
        <v>0.1075626261427045</v>
      </c>
      <c r="N150">
        <v>7517</v>
      </c>
      <c r="O150" s="4">
        <f t="shared" si="12"/>
        <v>0.89243737385729549</v>
      </c>
      <c r="P150">
        <v>5555</v>
      </c>
    </row>
    <row r="151" spans="1:16" x14ac:dyDescent="0.3">
      <c r="A151" t="s">
        <v>45</v>
      </c>
      <c r="B151" s="3">
        <v>46054</v>
      </c>
      <c r="C151">
        <v>1469914</v>
      </c>
      <c r="D151">
        <v>867726</v>
      </c>
      <c r="E151">
        <v>141430</v>
      </c>
      <c r="F151">
        <v>123615</v>
      </c>
      <c r="G151">
        <v>108233</v>
      </c>
      <c r="H151">
        <v>60747</v>
      </c>
      <c r="I151">
        <v>47486</v>
      </c>
      <c r="J151">
        <v>14026</v>
      </c>
      <c r="K151" s="4">
        <f t="shared" si="13"/>
        <v>0.11346519435343608</v>
      </c>
      <c r="L151">
        <v>2081</v>
      </c>
      <c r="M151" s="4">
        <f t="shared" si="11"/>
        <v>0.14836731783830029</v>
      </c>
      <c r="N151">
        <v>11945</v>
      </c>
      <c r="O151" s="4">
        <f t="shared" si="12"/>
        <v>0.85163268216169974</v>
      </c>
      <c r="P151">
        <v>1356</v>
      </c>
    </row>
    <row r="152" spans="1:16" x14ac:dyDescent="0.3">
      <c r="A152" t="s">
        <v>46</v>
      </c>
      <c r="B152" s="3">
        <v>46054</v>
      </c>
      <c r="C152">
        <v>143842</v>
      </c>
      <c r="D152">
        <v>92059</v>
      </c>
      <c r="E152">
        <v>13390</v>
      </c>
      <c r="F152">
        <v>13605</v>
      </c>
      <c r="G152">
        <v>10220</v>
      </c>
      <c r="H152">
        <v>8773</v>
      </c>
      <c r="I152">
        <v>1447</v>
      </c>
      <c r="J152">
        <v>2277</v>
      </c>
      <c r="K152" s="4">
        <f t="shared" si="13"/>
        <v>0.16736493936052921</v>
      </c>
      <c r="L152">
        <v>267</v>
      </c>
      <c r="M152" s="4">
        <f t="shared" si="11"/>
        <v>0.11725955204216074</v>
      </c>
      <c r="N152">
        <v>2010</v>
      </c>
      <c r="O152" s="4">
        <f t="shared" si="12"/>
        <v>0.88274044795783924</v>
      </c>
      <c r="P152">
        <v>1108</v>
      </c>
    </row>
    <row r="153" spans="1:16" x14ac:dyDescent="0.3">
      <c r="A153" t="s">
        <v>47</v>
      </c>
      <c r="B153" s="3">
        <v>46054</v>
      </c>
      <c r="C153">
        <v>1718979</v>
      </c>
      <c r="D153">
        <v>968388</v>
      </c>
      <c r="E153">
        <v>145652</v>
      </c>
      <c r="F153">
        <v>119005</v>
      </c>
      <c r="G153">
        <v>104414</v>
      </c>
      <c r="H153">
        <v>97610</v>
      </c>
      <c r="I153">
        <v>6804</v>
      </c>
      <c r="J153">
        <v>13437</v>
      </c>
      <c r="K153" s="4">
        <f t="shared" si="13"/>
        <v>0.11291122221755388</v>
      </c>
      <c r="L153">
        <v>1972</v>
      </c>
      <c r="M153" s="4">
        <f t="shared" si="11"/>
        <v>0.14675894917020169</v>
      </c>
      <c r="N153">
        <v>11465</v>
      </c>
      <c r="O153" s="4">
        <f t="shared" si="12"/>
        <v>0.85324105082979829</v>
      </c>
      <c r="P153">
        <v>1154</v>
      </c>
    </row>
    <row r="154" spans="1:16" x14ac:dyDescent="0.3">
      <c r="A154" t="s">
        <v>48</v>
      </c>
      <c r="B154" s="3">
        <v>46054</v>
      </c>
      <c r="C154">
        <v>1018694</v>
      </c>
      <c r="D154">
        <v>582439</v>
      </c>
      <c r="E154">
        <v>87361</v>
      </c>
      <c r="F154">
        <v>74223</v>
      </c>
      <c r="G154">
        <v>51843</v>
      </c>
      <c r="H154">
        <v>29372</v>
      </c>
      <c r="I154">
        <v>22471</v>
      </c>
      <c r="J154">
        <v>16788</v>
      </c>
      <c r="K154" s="4">
        <f t="shared" si="13"/>
        <v>0.2261832585586678</v>
      </c>
      <c r="L154">
        <v>7153</v>
      </c>
      <c r="M154" s="4">
        <f t="shared" si="11"/>
        <v>0.42607815106028113</v>
      </c>
      <c r="N154">
        <v>9635</v>
      </c>
      <c r="O154" s="4">
        <f t="shared" si="12"/>
        <v>0.57392184893971887</v>
      </c>
      <c r="P154">
        <v>5592</v>
      </c>
    </row>
    <row r="155" spans="1:16" x14ac:dyDescent="0.3">
      <c r="A155" t="s">
        <v>49</v>
      </c>
      <c r="B155" s="3">
        <v>46054</v>
      </c>
      <c r="C155">
        <v>447364</v>
      </c>
      <c r="D155">
        <v>293266</v>
      </c>
      <c r="E155">
        <v>28476</v>
      </c>
      <c r="F155">
        <v>34449</v>
      </c>
      <c r="G155">
        <v>27486</v>
      </c>
      <c r="H155">
        <v>22134</v>
      </c>
      <c r="I155">
        <v>5352</v>
      </c>
      <c r="J155">
        <v>6622</v>
      </c>
      <c r="K155" s="4">
        <f t="shared" si="13"/>
        <v>0.19222618943946124</v>
      </c>
      <c r="L155">
        <v>1232</v>
      </c>
      <c r="M155" s="4">
        <f t="shared" si="11"/>
        <v>0.18604651162790697</v>
      </c>
      <c r="N155">
        <v>5390</v>
      </c>
      <c r="O155" s="4">
        <f t="shared" si="12"/>
        <v>0.81395348837209303</v>
      </c>
      <c r="P155">
        <v>341</v>
      </c>
    </row>
    <row r="156" spans="1:16" x14ac:dyDescent="0.3">
      <c r="A156" t="s">
        <v>50</v>
      </c>
      <c r="B156" s="3">
        <v>46054</v>
      </c>
      <c r="C156">
        <v>52961</v>
      </c>
      <c r="D156">
        <v>18942</v>
      </c>
      <c r="E156">
        <v>5451</v>
      </c>
      <c r="F156">
        <v>4572</v>
      </c>
      <c r="G156">
        <v>3842</v>
      </c>
      <c r="H156">
        <v>2829</v>
      </c>
      <c r="I156">
        <v>1013</v>
      </c>
      <c r="J156">
        <v>186</v>
      </c>
      <c r="K156" s="4">
        <f t="shared" si="13"/>
        <v>4.0682414698162729E-2</v>
      </c>
      <c r="L156">
        <v>161</v>
      </c>
      <c r="M156" s="4">
        <f t="shared" si="11"/>
        <v>0.86559139784946237</v>
      </c>
      <c r="N156">
        <v>25</v>
      </c>
      <c r="O156" s="4">
        <f t="shared" si="12"/>
        <v>0.13440860215053763</v>
      </c>
      <c r="P156">
        <v>544</v>
      </c>
    </row>
    <row r="157" spans="1:16" s="1" customFormat="1" x14ac:dyDescent="0.3">
      <c r="A157" s="1" t="s">
        <v>63</v>
      </c>
      <c r="B157" s="8">
        <v>46054</v>
      </c>
      <c r="C157" s="1">
        <f>SUM(C106:C156)</f>
        <v>67650084</v>
      </c>
      <c r="D157" s="1">
        <f>SUM(D106:D156)</f>
        <v>39203964</v>
      </c>
      <c r="E157" s="1">
        <f>SUM(E106:E156)</f>
        <v>6072051</v>
      </c>
      <c r="F157" s="1">
        <f t="shared" ref="F157:L157" si="14">SUM(F106:F156)</f>
        <v>5799432</v>
      </c>
      <c r="G157" s="1">
        <f t="shared" si="14"/>
        <v>3856689</v>
      </c>
      <c r="H157" s="1">
        <f t="shared" si="14"/>
        <v>2734302</v>
      </c>
      <c r="I157" s="1">
        <f t="shared" si="14"/>
        <v>1122387</v>
      </c>
      <c r="J157" s="1">
        <f t="shared" si="14"/>
        <v>1196040</v>
      </c>
      <c r="K157" s="9">
        <f>J157/F157</f>
        <v>0.20623398981141602</v>
      </c>
      <c r="L157" s="1">
        <f t="shared" si="14"/>
        <v>301295</v>
      </c>
      <c r="M157" s="9">
        <f>L157/J157</f>
        <v>0.2519104712216983</v>
      </c>
      <c r="N157" s="1">
        <f>SUM(N106:N156)</f>
        <v>894745</v>
      </c>
      <c r="O157" s="9">
        <f>N157/J157</f>
        <v>0.7480895287783017</v>
      </c>
      <c r="P157" s="1">
        <f>SUM(P106:P156)</f>
        <v>746703</v>
      </c>
    </row>
    <row r="158" spans="1:16" x14ac:dyDescent="0.3">
      <c r="A158" t="s">
        <v>0</v>
      </c>
      <c r="B158" s="3">
        <v>46082</v>
      </c>
      <c r="C158">
        <v>195931</v>
      </c>
      <c r="D158">
        <v>124130</v>
      </c>
      <c r="E158">
        <v>14288</v>
      </c>
      <c r="F158">
        <v>17809</v>
      </c>
      <c r="G158">
        <v>7272</v>
      </c>
      <c r="H158">
        <v>3712</v>
      </c>
      <c r="I158">
        <v>3560</v>
      </c>
      <c r="J158">
        <v>6571</v>
      </c>
      <c r="K158" s="4">
        <f>J158/F158</f>
        <v>0.36897074512886741</v>
      </c>
      <c r="L158">
        <v>1827</v>
      </c>
      <c r="M158" s="11">
        <f t="shared" ref="M158:M207" si="15">L158/J158</f>
        <v>0.27803987216557602</v>
      </c>
      <c r="N158">
        <v>4744</v>
      </c>
      <c r="O158" s="11">
        <f t="shared" ref="O158:O207" si="16">N158/J158</f>
        <v>0.72196012783442398</v>
      </c>
      <c r="P158">
        <v>3966</v>
      </c>
    </row>
    <row r="159" spans="1:16" x14ac:dyDescent="0.3">
      <c r="A159" t="s">
        <v>1</v>
      </c>
      <c r="B159" s="3">
        <v>46082</v>
      </c>
      <c r="C159">
        <v>738275</v>
      </c>
      <c r="D159">
        <v>264440</v>
      </c>
      <c r="E159">
        <v>101259</v>
      </c>
      <c r="F159">
        <v>94392</v>
      </c>
      <c r="G159">
        <v>73010</v>
      </c>
      <c r="H159">
        <v>39348</v>
      </c>
      <c r="I159">
        <v>33662</v>
      </c>
      <c r="J159">
        <v>20396</v>
      </c>
      <c r="K159" s="4">
        <f t="shared" ref="K159:K206" si="17">J159/F159</f>
        <v>0.216077633697771</v>
      </c>
      <c r="L159">
        <v>15131</v>
      </c>
      <c r="M159" s="11">
        <f t="shared" si="15"/>
        <v>0.74186114924494995</v>
      </c>
      <c r="N159">
        <v>5265</v>
      </c>
      <c r="O159" s="11">
        <f t="shared" si="16"/>
        <v>0.25813885075505</v>
      </c>
      <c r="P159">
        <v>986</v>
      </c>
    </row>
    <row r="160" spans="1:16" x14ac:dyDescent="0.3">
      <c r="A160" t="s">
        <v>2</v>
      </c>
      <c r="B160" s="3">
        <v>46082</v>
      </c>
      <c r="C160">
        <v>710664</v>
      </c>
      <c r="D160">
        <v>395026</v>
      </c>
      <c r="E160">
        <v>54476</v>
      </c>
      <c r="F160">
        <v>57641</v>
      </c>
      <c r="G160">
        <v>48045</v>
      </c>
      <c r="H160">
        <v>41760</v>
      </c>
      <c r="I160">
        <v>6285</v>
      </c>
      <c r="J160">
        <v>9482</v>
      </c>
      <c r="K160" s="4">
        <f t="shared" si="17"/>
        <v>0.1645009628563002</v>
      </c>
      <c r="L160">
        <v>1538</v>
      </c>
      <c r="M160" s="11">
        <f t="shared" si="15"/>
        <v>0.16220206707445686</v>
      </c>
      <c r="N160">
        <v>7944</v>
      </c>
      <c r="O160" s="11">
        <f t="shared" si="16"/>
        <v>0.83779793292554317</v>
      </c>
      <c r="P160">
        <v>114</v>
      </c>
    </row>
    <row r="161" spans="1:16" x14ac:dyDescent="0.3">
      <c r="A161" t="s">
        <v>3</v>
      </c>
      <c r="B161" s="3">
        <v>46082</v>
      </c>
      <c r="C161">
        <v>1529649</v>
      </c>
      <c r="D161">
        <v>922562</v>
      </c>
      <c r="E161">
        <v>182356</v>
      </c>
      <c r="F161">
        <v>180456</v>
      </c>
      <c r="G161">
        <v>137154</v>
      </c>
      <c r="H161">
        <v>126345</v>
      </c>
      <c r="I161">
        <v>10809</v>
      </c>
      <c r="J161">
        <v>31172</v>
      </c>
      <c r="K161" s="4">
        <f t="shared" si="17"/>
        <v>0.17274016934876091</v>
      </c>
      <c r="L161">
        <v>7955</v>
      </c>
      <c r="M161" s="11">
        <f t="shared" si="15"/>
        <v>0.25519697164121646</v>
      </c>
      <c r="N161">
        <v>23217</v>
      </c>
      <c r="O161" s="11">
        <f t="shared" si="16"/>
        <v>0.74480302835878354</v>
      </c>
      <c r="P161">
        <v>12130</v>
      </c>
    </row>
    <row r="162" spans="1:16" x14ac:dyDescent="0.3">
      <c r="A162" t="s">
        <v>4</v>
      </c>
      <c r="B162" s="3">
        <v>46082</v>
      </c>
      <c r="C162">
        <v>10715787</v>
      </c>
      <c r="D162">
        <v>7438902</v>
      </c>
      <c r="E162">
        <v>1136030</v>
      </c>
      <c r="F162">
        <v>1053563</v>
      </c>
      <c r="G162">
        <v>603754</v>
      </c>
      <c r="H162">
        <v>456041</v>
      </c>
      <c r="I162">
        <v>147713</v>
      </c>
      <c r="J162">
        <v>219978</v>
      </c>
      <c r="K162" s="4">
        <f t="shared" si="17"/>
        <v>0.20879434832088825</v>
      </c>
      <c r="L162">
        <v>18989</v>
      </c>
      <c r="M162" s="11">
        <f t="shared" si="15"/>
        <v>8.632226859049541E-2</v>
      </c>
      <c r="N162">
        <v>200989</v>
      </c>
      <c r="O162" s="11">
        <f t="shared" si="16"/>
        <v>0.91367773140950459</v>
      </c>
      <c r="P162">
        <v>229831</v>
      </c>
    </row>
    <row r="163" spans="1:16" x14ac:dyDescent="0.3">
      <c r="A163" t="s">
        <v>5</v>
      </c>
      <c r="B163" s="3">
        <v>46082</v>
      </c>
      <c r="C163">
        <v>1044937</v>
      </c>
      <c r="D163">
        <v>659739</v>
      </c>
      <c r="E163">
        <v>78955</v>
      </c>
      <c r="F163">
        <v>97700</v>
      </c>
      <c r="G163">
        <v>74370</v>
      </c>
      <c r="H163">
        <v>54170</v>
      </c>
      <c r="I163">
        <v>20200</v>
      </c>
      <c r="J163">
        <v>21152</v>
      </c>
      <c r="K163" s="4">
        <f t="shared" si="17"/>
        <v>0.21649948822927328</v>
      </c>
      <c r="L163">
        <v>7922</v>
      </c>
      <c r="M163" s="11">
        <f t="shared" si="15"/>
        <v>0.37452723146747352</v>
      </c>
      <c r="N163">
        <v>13230</v>
      </c>
      <c r="O163" s="11">
        <f t="shared" si="16"/>
        <v>0.62547276853252642</v>
      </c>
      <c r="P163">
        <v>2178</v>
      </c>
    </row>
    <row r="164" spans="1:16" x14ac:dyDescent="0.3">
      <c r="A164" t="s">
        <v>6</v>
      </c>
      <c r="B164" s="3">
        <v>46082</v>
      </c>
      <c r="C164">
        <v>876222</v>
      </c>
      <c r="D164">
        <v>538219</v>
      </c>
      <c r="E164">
        <v>78137</v>
      </c>
      <c r="F164">
        <v>101908</v>
      </c>
      <c r="G164">
        <v>90108</v>
      </c>
      <c r="H164">
        <v>85362</v>
      </c>
      <c r="I164">
        <v>4746</v>
      </c>
      <c r="J164">
        <v>8303</v>
      </c>
      <c r="K164" s="4">
        <f t="shared" si="17"/>
        <v>8.1475448443694309E-2</v>
      </c>
      <c r="L164">
        <v>4735</v>
      </c>
      <c r="M164" s="11">
        <f t="shared" si="15"/>
        <v>0.57027580392629174</v>
      </c>
      <c r="N164">
        <v>3568</v>
      </c>
      <c r="O164" s="11">
        <f t="shared" si="16"/>
        <v>0.42972419607370832</v>
      </c>
      <c r="P164">
        <v>3497</v>
      </c>
    </row>
    <row r="165" spans="1:16" x14ac:dyDescent="0.3">
      <c r="A165" t="s">
        <v>7</v>
      </c>
      <c r="B165" s="3">
        <v>46082</v>
      </c>
      <c r="C165">
        <v>222460</v>
      </c>
      <c r="D165">
        <v>145136</v>
      </c>
      <c r="E165">
        <v>16541</v>
      </c>
      <c r="F165">
        <v>18078</v>
      </c>
      <c r="G165">
        <v>13137</v>
      </c>
      <c r="H165">
        <v>12073</v>
      </c>
      <c r="I165">
        <v>1064</v>
      </c>
      <c r="J165">
        <v>3066</v>
      </c>
      <c r="K165" s="4">
        <f t="shared" si="17"/>
        <v>0.16959840690341851</v>
      </c>
      <c r="L165">
        <v>176</v>
      </c>
      <c r="M165" s="11">
        <f t="shared" si="15"/>
        <v>5.7403783431180688E-2</v>
      </c>
      <c r="N165">
        <v>2890</v>
      </c>
      <c r="O165" s="11">
        <f t="shared" si="16"/>
        <v>0.94259621656881931</v>
      </c>
      <c r="P165">
        <v>1875</v>
      </c>
    </row>
    <row r="166" spans="1:16" x14ac:dyDescent="0.3">
      <c r="A166" t="s">
        <v>8</v>
      </c>
      <c r="B166" s="3">
        <v>46082</v>
      </c>
      <c r="C166">
        <v>224211</v>
      </c>
      <c r="D166">
        <v>132752</v>
      </c>
      <c r="E166">
        <v>20335</v>
      </c>
      <c r="F166">
        <v>19890</v>
      </c>
      <c r="G166">
        <v>13463</v>
      </c>
      <c r="H166">
        <v>8103</v>
      </c>
      <c r="I166">
        <v>5360</v>
      </c>
      <c r="J166">
        <v>6180</v>
      </c>
      <c r="K166" s="4">
        <f t="shared" si="17"/>
        <v>0.31070889894419307</v>
      </c>
      <c r="L166">
        <v>1722</v>
      </c>
      <c r="M166" s="11">
        <f t="shared" si="15"/>
        <v>0.27864077669902915</v>
      </c>
      <c r="N166">
        <v>4458</v>
      </c>
      <c r="O166" s="11">
        <f t="shared" si="16"/>
        <v>0.72135922330097091</v>
      </c>
      <c r="P166">
        <v>247</v>
      </c>
    </row>
    <row r="167" spans="1:16" x14ac:dyDescent="0.3">
      <c r="A167" t="s">
        <v>9</v>
      </c>
      <c r="B167" s="3">
        <v>46082</v>
      </c>
      <c r="C167">
        <v>3401686</v>
      </c>
      <c r="D167">
        <v>1275385</v>
      </c>
      <c r="E167">
        <v>176275</v>
      </c>
      <c r="F167">
        <v>190674</v>
      </c>
      <c r="G167">
        <v>116800</v>
      </c>
      <c r="H167">
        <v>38557</v>
      </c>
      <c r="I167">
        <v>78243</v>
      </c>
      <c r="J167">
        <v>36473</v>
      </c>
      <c r="K167" s="4">
        <f t="shared" si="17"/>
        <v>0.19128460094192182</v>
      </c>
      <c r="L167">
        <v>14543</v>
      </c>
      <c r="M167" s="11">
        <f t="shared" si="15"/>
        <v>0.3987333095714638</v>
      </c>
      <c r="N167">
        <v>21930</v>
      </c>
      <c r="O167" s="11">
        <f t="shared" si="16"/>
        <v>0.6012666904285362</v>
      </c>
      <c r="P167">
        <v>37401</v>
      </c>
    </row>
    <row r="168" spans="1:16" x14ac:dyDescent="0.3">
      <c r="A168" t="s">
        <v>10</v>
      </c>
      <c r="B168" s="3">
        <v>46082</v>
      </c>
      <c r="C168">
        <v>1659574</v>
      </c>
      <c r="D168">
        <v>547680</v>
      </c>
      <c r="E168">
        <v>148723</v>
      </c>
      <c r="F168">
        <v>226863</v>
      </c>
      <c r="G168">
        <v>144833</v>
      </c>
      <c r="H168">
        <v>112823</v>
      </c>
      <c r="I168">
        <v>32010</v>
      </c>
      <c r="J168">
        <v>64439</v>
      </c>
      <c r="K168" s="4">
        <f t="shared" si="17"/>
        <v>0.28404367393537067</v>
      </c>
      <c r="L168">
        <v>31336</v>
      </c>
      <c r="M168" s="11">
        <f t="shared" si="15"/>
        <v>0.48628935892859915</v>
      </c>
      <c r="N168">
        <v>33103</v>
      </c>
      <c r="O168" s="11">
        <f t="shared" si="16"/>
        <v>0.51371064107140085</v>
      </c>
      <c r="P168">
        <v>17591</v>
      </c>
    </row>
    <row r="169" spans="1:16" x14ac:dyDescent="0.3">
      <c r="A169" t="s">
        <v>11</v>
      </c>
      <c r="B169" s="3">
        <v>46082</v>
      </c>
      <c r="C169">
        <v>361379</v>
      </c>
      <c r="D169">
        <v>233317</v>
      </c>
      <c r="E169">
        <v>26058</v>
      </c>
      <c r="F169">
        <v>23602</v>
      </c>
      <c r="G169">
        <v>19693</v>
      </c>
      <c r="H169">
        <v>15329</v>
      </c>
      <c r="I169">
        <v>4364</v>
      </c>
      <c r="J169">
        <v>2891</v>
      </c>
      <c r="K169" s="4">
        <f t="shared" si="17"/>
        <v>0.12248961952376917</v>
      </c>
      <c r="L169">
        <v>600</v>
      </c>
      <c r="M169" s="11">
        <f t="shared" si="15"/>
        <v>0.20754064337599445</v>
      </c>
      <c r="N169">
        <v>2291</v>
      </c>
      <c r="O169" s="11">
        <f t="shared" si="16"/>
        <v>0.79245935662400557</v>
      </c>
      <c r="P169">
        <v>1018</v>
      </c>
    </row>
    <row r="170" spans="1:16" x14ac:dyDescent="0.3">
      <c r="A170" t="s">
        <v>12</v>
      </c>
      <c r="B170" s="3">
        <v>46082</v>
      </c>
      <c r="C170">
        <v>589567</v>
      </c>
      <c r="D170">
        <v>341302</v>
      </c>
      <c r="E170">
        <v>47958</v>
      </c>
      <c r="F170">
        <v>44726</v>
      </c>
      <c r="G170">
        <v>36283</v>
      </c>
      <c r="H170">
        <v>26384</v>
      </c>
      <c r="I170">
        <v>9899</v>
      </c>
      <c r="J170">
        <v>5953</v>
      </c>
      <c r="K170" s="4">
        <f t="shared" si="17"/>
        <v>0.13309931583419041</v>
      </c>
      <c r="L170">
        <v>1181</v>
      </c>
      <c r="M170" s="11">
        <f t="shared" si="15"/>
        <v>0.19838736771375776</v>
      </c>
      <c r="N170">
        <v>4772</v>
      </c>
      <c r="O170" s="11">
        <f t="shared" si="16"/>
        <v>0.80161263228624224</v>
      </c>
      <c r="P170">
        <v>2490</v>
      </c>
    </row>
    <row r="171" spans="1:16" x14ac:dyDescent="0.3">
      <c r="A171" t="s">
        <v>13</v>
      </c>
      <c r="B171" s="3">
        <v>46082</v>
      </c>
      <c r="C171">
        <v>295300</v>
      </c>
      <c r="D171">
        <v>162343</v>
      </c>
      <c r="E171">
        <v>24149</v>
      </c>
      <c r="F171">
        <v>22141</v>
      </c>
      <c r="G171">
        <v>16263</v>
      </c>
      <c r="H171">
        <v>10834</v>
      </c>
      <c r="I171">
        <v>5429</v>
      </c>
      <c r="J171">
        <v>5412</v>
      </c>
      <c r="K171" s="4">
        <f t="shared" si="17"/>
        <v>0.2444334040919561</v>
      </c>
      <c r="L171">
        <v>1064</v>
      </c>
      <c r="M171" s="11">
        <f t="shared" si="15"/>
        <v>0.19660014781966001</v>
      </c>
      <c r="N171">
        <v>4348</v>
      </c>
      <c r="O171" s="11">
        <f t="shared" si="16"/>
        <v>0.80339985218033994</v>
      </c>
      <c r="P171">
        <v>466</v>
      </c>
    </row>
    <row r="172" spans="1:16" x14ac:dyDescent="0.3">
      <c r="A172" t="s">
        <v>14</v>
      </c>
      <c r="B172" s="3">
        <v>46082</v>
      </c>
      <c r="C172">
        <v>2661613</v>
      </c>
      <c r="D172">
        <v>1640718</v>
      </c>
      <c r="E172">
        <v>206905</v>
      </c>
      <c r="F172">
        <v>236409</v>
      </c>
      <c r="G172">
        <v>183670</v>
      </c>
      <c r="H172">
        <v>152578</v>
      </c>
      <c r="I172">
        <v>31092</v>
      </c>
      <c r="J172">
        <v>29078</v>
      </c>
      <c r="K172" s="4">
        <f t="shared" si="17"/>
        <v>0.12299870140307687</v>
      </c>
      <c r="L172">
        <v>8917</v>
      </c>
      <c r="M172" s="11">
        <f t="shared" si="15"/>
        <v>0.30665795446729488</v>
      </c>
      <c r="N172">
        <v>20161</v>
      </c>
      <c r="O172" s="11">
        <f t="shared" si="16"/>
        <v>0.69334204553270518</v>
      </c>
      <c r="P172">
        <v>23661</v>
      </c>
    </row>
    <row r="173" spans="1:16" x14ac:dyDescent="0.3">
      <c r="A173" t="s">
        <v>15</v>
      </c>
      <c r="B173" s="3">
        <v>46082</v>
      </c>
      <c r="C173">
        <v>1300517</v>
      </c>
      <c r="D173">
        <v>746977</v>
      </c>
      <c r="E173">
        <v>87136</v>
      </c>
      <c r="F173">
        <v>103975</v>
      </c>
      <c r="G173">
        <v>22441</v>
      </c>
      <c r="H173">
        <v>11201</v>
      </c>
      <c r="I173">
        <v>11240</v>
      </c>
      <c r="J173">
        <v>46050</v>
      </c>
      <c r="K173" s="4">
        <f t="shared" si="17"/>
        <v>0.44289492666506369</v>
      </c>
      <c r="L173">
        <v>1054</v>
      </c>
      <c r="M173" s="11">
        <f t="shared" si="15"/>
        <v>2.2888165038002173E-2</v>
      </c>
      <c r="N173">
        <v>44996</v>
      </c>
      <c r="O173" s="11">
        <f t="shared" si="16"/>
        <v>0.97711183496199783</v>
      </c>
      <c r="P173">
        <v>35484</v>
      </c>
    </row>
    <row r="174" spans="1:16" x14ac:dyDescent="0.3">
      <c r="A174" t="s">
        <v>16</v>
      </c>
      <c r="B174" s="3">
        <v>46082</v>
      </c>
      <c r="C174">
        <v>324822</v>
      </c>
      <c r="D174">
        <v>121034</v>
      </c>
      <c r="E174">
        <v>36241</v>
      </c>
      <c r="F174">
        <v>30165</v>
      </c>
      <c r="G174">
        <v>24258</v>
      </c>
      <c r="H174">
        <v>15421</v>
      </c>
      <c r="I174">
        <v>8837</v>
      </c>
      <c r="J174">
        <v>4513</v>
      </c>
      <c r="K174" s="4">
        <f t="shared" si="17"/>
        <v>0.14961047571689043</v>
      </c>
      <c r="L174">
        <v>2570</v>
      </c>
      <c r="M174" s="11">
        <f t="shared" si="15"/>
        <v>0.56946598714823837</v>
      </c>
      <c r="N174">
        <v>1943</v>
      </c>
      <c r="O174" s="11">
        <f t="shared" si="16"/>
        <v>0.43053401285176157</v>
      </c>
      <c r="P174">
        <v>1394</v>
      </c>
    </row>
    <row r="175" spans="1:16" x14ac:dyDescent="0.3">
      <c r="A175" t="s">
        <v>17</v>
      </c>
      <c r="B175" s="3">
        <v>46082</v>
      </c>
      <c r="C175">
        <v>1168061</v>
      </c>
      <c r="D175">
        <v>717930</v>
      </c>
      <c r="E175">
        <v>154823</v>
      </c>
      <c r="F175">
        <v>158568</v>
      </c>
      <c r="G175">
        <v>136787</v>
      </c>
      <c r="H175">
        <v>122481</v>
      </c>
      <c r="I175">
        <v>14306</v>
      </c>
      <c r="J175">
        <v>20713</v>
      </c>
      <c r="K175" s="4">
        <f t="shared" si="17"/>
        <v>0.1306253468543464</v>
      </c>
      <c r="L175">
        <v>5955</v>
      </c>
      <c r="M175" s="11">
        <f t="shared" si="15"/>
        <v>0.28750060348573359</v>
      </c>
      <c r="N175">
        <v>14758</v>
      </c>
      <c r="O175" s="11">
        <f t="shared" si="16"/>
        <v>0.71249939651426641</v>
      </c>
      <c r="P175">
        <v>1068</v>
      </c>
    </row>
    <row r="176" spans="1:16" x14ac:dyDescent="0.3">
      <c r="A176" t="s">
        <v>18</v>
      </c>
      <c r="B176" s="3">
        <v>46082</v>
      </c>
      <c r="C176">
        <v>1223710</v>
      </c>
      <c r="D176">
        <v>691073</v>
      </c>
      <c r="E176">
        <v>111446</v>
      </c>
      <c r="F176">
        <v>108555</v>
      </c>
      <c r="G176">
        <v>64572</v>
      </c>
      <c r="H176">
        <v>43328</v>
      </c>
      <c r="I176">
        <v>21244</v>
      </c>
      <c r="J176">
        <v>27438</v>
      </c>
      <c r="K176" s="4">
        <f t="shared" si="17"/>
        <v>0.25275666712726269</v>
      </c>
      <c r="L176">
        <v>3794</v>
      </c>
      <c r="M176" s="11">
        <f t="shared" si="15"/>
        <v>0.13827538450324367</v>
      </c>
      <c r="N176">
        <v>23644</v>
      </c>
      <c r="O176" s="11">
        <f t="shared" si="16"/>
        <v>0.86172461549675627</v>
      </c>
      <c r="P176">
        <v>16545</v>
      </c>
    </row>
    <row r="177" spans="1:16" x14ac:dyDescent="0.3">
      <c r="A177" t="s">
        <v>19</v>
      </c>
      <c r="B177" s="3">
        <v>46082</v>
      </c>
      <c r="C177">
        <v>1373802</v>
      </c>
      <c r="D177">
        <v>883592</v>
      </c>
      <c r="E177">
        <v>122976</v>
      </c>
      <c r="F177">
        <v>248454</v>
      </c>
      <c r="G177">
        <v>197077</v>
      </c>
      <c r="H177">
        <v>149701</v>
      </c>
      <c r="I177">
        <v>47376</v>
      </c>
      <c r="J177">
        <v>49867</v>
      </c>
      <c r="K177" s="4">
        <f t="shared" si="17"/>
        <v>0.20070918560377374</v>
      </c>
      <c r="L177">
        <v>14242</v>
      </c>
      <c r="M177" s="11">
        <f t="shared" si="15"/>
        <v>0.28559969518920331</v>
      </c>
      <c r="N177">
        <v>35625</v>
      </c>
      <c r="O177" s="11">
        <f t="shared" si="16"/>
        <v>0.71440030481079675</v>
      </c>
      <c r="P177">
        <v>1510</v>
      </c>
    </row>
    <row r="178" spans="1:16" x14ac:dyDescent="0.3">
      <c r="A178" t="s">
        <v>20</v>
      </c>
      <c r="B178" s="3">
        <v>46082</v>
      </c>
      <c r="C178">
        <v>1195312</v>
      </c>
      <c r="D178">
        <v>725373</v>
      </c>
      <c r="E178">
        <v>89380</v>
      </c>
      <c r="F178">
        <v>90024</v>
      </c>
      <c r="G178">
        <v>62165</v>
      </c>
      <c r="H178">
        <v>45729</v>
      </c>
      <c r="I178">
        <v>16436</v>
      </c>
      <c r="J178">
        <v>23904</v>
      </c>
      <c r="K178" s="4">
        <f t="shared" si="17"/>
        <v>0.26552919221540922</v>
      </c>
      <c r="L178">
        <v>2802</v>
      </c>
      <c r="M178" s="11">
        <f t="shared" si="15"/>
        <v>0.11721887550200803</v>
      </c>
      <c r="N178">
        <v>21102</v>
      </c>
      <c r="O178" s="11">
        <f t="shared" si="16"/>
        <v>0.88278112449799195</v>
      </c>
      <c r="P178">
        <v>3955</v>
      </c>
    </row>
    <row r="179" spans="1:16" x14ac:dyDescent="0.3">
      <c r="A179" t="s">
        <v>21</v>
      </c>
      <c r="B179" s="3">
        <v>46082</v>
      </c>
      <c r="C179">
        <v>312363</v>
      </c>
      <c r="D179">
        <v>195014</v>
      </c>
      <c r="E179">
        <v>34110</v>
      </c>
      <c r="F179">
        <v>30741</v>
      </c>
      <c r="G179">
        <v>23999</v>
      </c>
      <c r="H179">
        <v>22977</v>
      </c>
      <c r="I179">
        <v>1022</v>
      </c>
      <c r="J179">
        <v>3754</v>
      </c>
      <c r="K179" s="4">
        <f t="shared" si="17"/>
        <v>0.12211704238638951</v>
      </c>
      <c r="L179">
        <v>285</v>
      </c>
      <c r="M179" s="11">
        <f t="shared" si="15"/>
        <v>7.5919019712306871E-2</v>
      </c>
      <c r="N179">
        <v>3469</v>
      </c>
      <c r="O179" s="11">
        <f t="shared" si="16"/>
        <v>0.92408098028769314</v>
      </c>
      <c r="P179">
        <v>2988</v>
      </c>
    </row>
    <row r="180" spans="1:16" x14ac:dyDescent="0.3">
      <c r="A180" t="s">
        <v>22</v>
      </c>
      <c r="B180" s="3">
        <v>46082</v>
      </c>
      <c r="C180">
        <v>2030033</v>
      </c>
      <c r="D180">
        <v>1314999</v>
      </c>
      <c r="E180">
        <v>176751</v>
      </c>
      <c r="F180">
        <v>198401</v>
      </c>
      <c r="G180">
        <v>151317</v>
      </c>
      <c r="H180">
        <v>108085</v>
      </c>
      <c r="I180">
        <v>43232</v>
      </c>
      <c r="J180">
        <v>34016</v>
      </c>
      <c r="K180" s="4">
        <f t="shared" si="17"/>
        <v>0.17145074873614549</v>
      </c>
      <c r="L180">
        <v>6079</v>
      </c>
      <c r="M180" s="11">
        <f t="shared" si="15"/>
        <v>0.17871001881467544</v>
      </c>
      <c r="N180">
        <v>27937</v>
      </c>
      <c r="O180" s="11">
        <f t="shared" si="16"/>
        <v>0.82128998118532459</v>
      </c>
      <c r="P180">
        <v>13068</v>
      </c>
    </row>
    <row r="181" spans="1:16" x14ac:dyDescent="0.3">
      <c r="A181" t="s">
        <v>23</v>
      </c>
      <c r="B181" s="3">
        <v>46082</v>
      </c>
      <c r="C181">
        <v>1132052</v>
      </c>
      <c r="D181">
        <v>540531</v>
      </c>
      <c r="E181">
        <v>78991</v>
      </c>
      <c r="F181">
        <v>95055</v>
      </c>
      <c r="G181">
        <v>78207</v>
      </c>
      <c r="H181">
        <v>67157</v>
      </c>
      <c r="I181">
        <v>11050</v>
      </c>
      <c r="J181">
        <v>16848</v>
      </c>
      <c r="K181" s="4">
        <f t="shared" si="17"/>
        <v>0.177244753037715</v>
      </c>
      <c r="L181">
        <v>2605</v>
      </c>
      <c r="M181" s="11">
        <f t="shared" si="15"/>
        <v>0.15461775878442546</v>
      </c>
      <c r="N181">
        <v>14243</v>
      </c>
      <c r="O181" s="11">
        <f t="shared" si="16"/>
        <v>0.84538224121557459</v>
      </c>
      <c r="P181">
        <v>0</v>
      </c>
    </row>
    <row r="182" spans="1:16" x14ac:dyDescent="0.3">
      <c r="A182" t="s">
        <v>24</v>
      </c>
      <c r="B182" s="3">
        <v>46082</v>
      </c>
      <c r="C182">
        <v>1112396</v>
      </c>
      <c r="D182">
        <v>680978</v>
      </c>
      <c r="E182">
        <v>98181</v>
      </c>
      <c r="F182">
        <v>135791</v>
      </c>
      <c r="G182">
        <v>79724</v>
      </c>
      <c r="H182">
        <v>71869</v>
      </c>
      <c r="I182">
        <v>7855</v>
      </c>
      <c r="J182">
        <v>28344</v>
      </c>
      <c r="K182" s="4">
        <f t="shared" si="17"/>
        <v>0.20873253750248544</v>
      </c>
      <c r="L182">
        <v>2396</v>
      </c>
      <c r="M182" s="11">
        <f t="shared" si="15"/>
        <v>8.453288173863957E-2</v>
      </c>
      <c r="N182">
        <v>25948</v>
      </c>
      <c r="O182" s="11">
        <f t="shared" si="16"/>
        <v>0.9154671182613604</v>
      </c>
      <c r="P182">
        <v>27723</v>
      </c>
    </row>
    <row r="183" spans="1:16" x14ac:dyDescent="0.3">
      <c r="A183" t="s">
        <v>25</v>
      </c>
      <c r="B183" s="3">
        <v>46082</v>
      </c>
      <c r="C183">
        <v>503013</v>
      </c>
      <c r="D183">
        <v>195490</v>
      </c>
      <c r="E183">
        <v>51701</v>
      </c>
      <c r="F183">
        <v>45546</v>
      </c>
      <c r="G183">
        <v>38812</v>
      </c>
      <c r="H183">
        <v>17841</v>
      </c>
      <c r="I183">
        <v>20971</v>
      </c>
      <c r="J183">
        <v>6710</v>
      </c>
      <c r="K183" s="4">
        <f t="shared" si="17"/>
        <v>0.14732358494708647</v>
      </c>
      <c r="L183">
        <v>1285</v>
      </c>
      <c r="M183" s="11">
        <f t="shared" si="15"/>
        <v>0.19150521609538004</v>
      </c>
      <c r="N183">
        <v>5425</v>
      </c>
      <c r="O183" s="11">
        <f t="shared" si="16"/>
        <v>0.80849478390461993</v>
      </c>
      <c r="P183">
        <v>24</v>
      </c>
    </row>
    <row r="184" spans="1:16" x14ac:dyDescent="0.3">
      <c r="A184" t="s">
        <v>26</v>
      </c>
      <c r="B184" s="3">
        <v>46082</v>
      </c>
      <c r="C184">
        <v>187610</v>
      </c>
      <c r="D184">
        <v>118322</v>
      </c>
      <c r="E184">
        <v>24832</v>
      </c>
      <c r="F184">
        <v>17846</v>
      </c>
      <c r="G184">
        <v>10145</v>
      </c>
      <c r="H184">
        <v>7817</v>
      </c>
      <c r="I184">
        <v>2328</v>
      </c>
      <c r="J184">
        <v>3477</v>
      </c>
      <c r="K184" s="4">
        <f t="shared" si="17"/>
        <v>0.19483357615151856</v>
      </c>
      <c r="L184">
        <v>814</v>
      </c>
      <c r="M184" s="11">
        <f t="shared" si="15"/>
        <v>0.23410986482599944</v>
      </c>
      <c r="N184">
        <v>2663</v>
      </c>
      <c r="O184" s="11">
        <f t="shared" si="16"/>
        <v>0.76589013517400062</v>
      </c>
      <c r="P184">
        <v>4224</v>
      </c>
    </row>
    <row r="185" spans="1:16" x14ac:dyDescent="0.3">
      <c r="A185" t="s">
        <v>27</v>
      </c>
      <c r="B185" s="3">
        <v>46082</v>
      </c>
      <c r="C185">
        <v>2498429</v>
      </c>
      <c r="D185">
        <v>1452647</v>
      </c>
      <c r="E185">
        <v>244518</v>
      </c>
      <c r="F185">
        <v>289715</v>
      </c>
      <c r="G185">
        <v>171963</v>
      </c>
      <c r="H185">
        <v>170909</v>
      </c>
      <c r="I185">
        <v>1054</v>
      </c>
      <c r="J185">
        <v>19708</v>
      </c>
      <c r="K185" s="4">
        <f t="shared" si="17"/>
        <v>6.8025473309977047E-2</v>
      </c>
      <c r="L185">
        <v>7954</v>
      </c>
      <c r="M185" s="11">
        <f t="shared" si="15"/>
        <v>0.40359244976659225</v>
      </c>
      <c r="N185">
        <v>11754</v>
      </c>
      <c r="O185" s="11">
        <f t="shared" si="16"/>
        <v>0.59640755023340775</v>
      </c>
      <c r="P185">
        <v>98044</v>
      </c>
    </row>
    <row r="186" spans="1:16" x14ac:dyDescent="0.3">
      <c r="A186" t="s">
        <v>28</v>
      </c>
      <c r="B186" s="3">
        <v>46082</v>
      </c>
      <c r="C186">
        <v>98680</v>
      </c>
      <c r="D186">
        <v>53366</v>
      </c>
      <c r="E186">
        <v>7820</v>
      </c>
      <c r="F186">
        <v>9676</v>
      </c>
      <c r="G186">
        <v>5568</v>
      </c>
      <c r="H186">
        <v>3588</v>
      </c>
      <c r="I186">
        <v>1980</v>
      </c>
      <c r="J186">
        <v>1814</v>
      </c>
      <c r="K186" s="4">
        <f t="shared" si="17"/>
        <v>0.18747416287722199</v>
      </c>
      <c r="L186">
        <v>453</v>
      </c>
      <c r="M186" s="11">
        <f t="shared" si="15"/>
        <v>0.24972436604189635</v>
      </c>
      <c r="N186">
        <v>1361</v>
      </c>
      <c r="O186" s="11">
        <f t="shared" si="16"/>
        <v>0.75027563395810359</v>
      </c>
      <c r="P186">
        <v>2294</v>
      </c>
    </row>
    <row r="187" spans="1:16" x14ac:dyDescent="0.3">
      <c r="A187" t="s">
        <v>29</v>
      </c>
      <c r="B187" s="3">
        <v>46082</v>
      </c>
      <c r="C187">
        <v>297570</v>
      </c>
      <c r="D187">
        <v>163273</v>
      </c>
      <c r="E187">
        <v>21145</v>
      </c>
      <c r="F187">
        <v>25614</v>
      </c>
      <c r="G187">
        <v>18364</v>
      </c>
      <c r="H187">
        <v>16078</v>
      </c>
      <c r="I187">
        <v>2286</v>
      </c>
      <c r="J187">
        <v>4480</v>
      </c>
      <c r="K187" s="4">
        <f t="shared" si="17"/>
        <v>0.17490434918403996</v>
      </c>
      <c r="L187">
        <v>2395</v>
      </c>
      <c r="M187" s="11">
        <f t="shared" si="15"/>
        <v>0.5345982142857143</v>
      </c>
      <c r="N187">
        <v>2085</v>
      </c>
      <c r="O187" s="11">
        <f t="shared" si="16"/>
        <v>0.4654017857142857</v>
      </c>
      <c r="P187">
        <v>2770</v>
      </c>
    </row>
    <row r="188" spans="1:16" x14ac:dyDescent="0.3">
      <c r="A188" t="s">
        <v>30</v>
      </c>
      <c r="B188" s="3">
        <v>46082</v>
      </c>
      <c r="C188">
        <v>154739</v>
      </c>
      <c r="D188">
        <v>87897</v>
      </c>
      <c r="E188">
        <v>11109</v>
      </c>
      <c r="F188">
        <v>11424</v>
      </c>
      <c r="G188">
        <v>7784</v>
      </c>
      <c r="H188">
        <v>4502</v>
      </c>
      <c r="I188">
        <v>3282</v>
      </c>
      <c r="J188">
        <v>3030</v>
      </c>
      <c r="K188" s="4">
        <f t="shared" si="17"/>
        <v>0.26523109243697479</v>
      </c>
      <c r="L188">
        <v>460</v>
      </c>
      <c r="M188" s="11">
        <f t="shared" si="15"/>
        <v>0.15181518151815182</v>
      </c>
      <c r="N188">
        <v>2570</v>
      </c>
      <c r="O188" s="11">
        <f t="shared" si="16"/>
        <v>0.84818481848184824</v>
      </c>
      <c r="P188">
        <v>610</v>
      </c>
    </row>
    <row r="189" spans="1:16" x14ac:dyDescent="0.3">
      <c r="A189" t="s">
        <v>31</v>
      </c>
      <c r="B189" s="3">
        <v>46082</v>
      </c>
      <c r="C189">
        <v>1484986</v>
      </c>
      <c r="D189">
        <v>940111</v>
      </c>
      <c r="E189">
        <v>180495</v>
      </c>
      <c r="F189">
        <v>129936</v>
      </c>
      <c r="G189">
        <v>65541</v>
      </c>
      <c r="H189">
        <v>50996</v>
      </c>
      <c r="I189">
        <v>14544</v>
      </c>
      <c r="J189">
        <v>20431</v>
      </c>
      <c r="K189" s="4">
        <f t="shared" si="17"/>
        <v>0.15723894840536878</v>
      </c>
      <c r="L189">
        <v>5951</v>
      </c>
      <c r="M189" s="11">
        <f t="shared" si="15"/>
        <v>0.29127306543977288</v>
      </c>
      <c r="N189">
        <v>14480</v>
      </c>
      <c r="O189" s="11">
        <f t="shared" si="16"/>
        <v>0.70872693456022706</v>
      </c>
      <c r="P189">
        <v>43962</v>
      </c>
    </row>
    <row r="190" spans="1:16" x14ac:dyDescent="0.3">
      <c r="A190" t="s">
        <v>32</v>
      </c>
      <c r="B190" s="3">
        <v>46082</v>
      </c>
      <c r="C190">
        <v>635269</v>
      </c>
      <c r="D190">
        <v>372334</v>
      </c>
      <c r="E190">
        <v>32658</v>
      </c>
      <c r="F190">
        <v>39749</v>
      </c>
      <c r="G190">
        <v>29826</v>
      </c>
      <c r="H190">
        <v>21283</v>
      </c>
      <c r="I190">
        <v>8543</v>
      </c>
      <c r="J190">
        <v>9155</v>
      </c>
      <c r="K190" s="4">
        <f t="shared" si="17"/>
        <v>0.23032025962917307</v>
      </c>
      <c r="L190">
        <v>1032</v>
      </c>
      <c r="M190" s="11">
        <f t="shared" si="15"/>
        <v>0.11272528672856362</v>
      </c>
      <c r="N190">
        <v>8123</v>
      </c>
      <c r="O190" s="11">
        <f t="shared" si="16"/>
        <v>0.88727471327143637</v>
      </c>
      <c r="P190">
        <v>768</v>
      </c>
    </row>
    <row r="191" spans="1:16" x14ac:dyDescent="0.3">
      <c r="A191" t="s">
        <v>33</v>
      </c>
      <c r="B191" s="3">
        <v>46082</v>
      </c>
      <c r="C191">
        <v>678486</v>
      </c>
      <c r="D191">
        <v>399307</v>
      </c>
      <c r="E191">
        <v>73870</v>
      </c>
      <c r="F191">
        <v>88903</v>
      </c>
      <c r="G191">
        <v>72527</v>
      </c>
      <c r="H191">
        <v>69714</v>
      </c>
      <c r="I191">
        <v>2813</v>
      </c>
      <c r="J191">
        <v>12813</v>
      </c>
      <c r="K191" s="4">
        <f t="shared" si="17"/>
        <v>0.14412337041494663</v>
      </c>
      <c r="L191">
        <v>1524</v>
      </c>
      <c r="M191" s="11">
        <f t="shared" si="15"/>
        <v>0.11894169983610396</v>
      </c>
      <c r="N191">
        <v>11289</v>
      </c>
      <c r="O191" s="11">
        <f t="shared" si="16"/>
        <v>0.88105830016389608</v>
      </c>
      <c r="P191">
        <v>3563</v>
      </c>
    </row>
    <row r="192" spans="1:16" x14ac:dyDescent="0.3">
      <c r="A192" t="s">
        <v>34</v>
      </c>
      <c r="B192" s="3">
        <v>46082</v>
      </c>
      <c r="C192">
        <v>5765648</v>
      </c>
      <c r="D192">
        <v>3984402</v>
      </c>
      <c r="E192">
        <v>416749</v>
      </c>
      <c r="F192">
        <v>384606</v>
      </c>
      <c r="G192">
        <v>279053</v>
      </c>
      <c r="H192">
        <v>101610</v>
      </c>
      <c r="I192">
        <v>177443</v>
      </c>
      <c r="J192">
        <v>99487</v>
      </c>
      <c r="K192" s="4">
        <f t="shared" si="17"/>
        <v>0.25867251160928328</v>
      </c>
      <c r="L192">
        <v>40152</v>
      </c>
      <c r="M192" s="11">
        <f t="shared" si="15"/>
        <v>0.40359041884869379</v>
      </c>
      <c r="N192">
        <v>59335</v>
      </c>
      <c r="O192" s="11">
        <f t="shared" si="16"/>
        <v>0.59640958115130616</v>
      </c>
      <c r="P192">
        <v>6066</v>
      </c>
    </row>
    <row r="193" spans="1:16" x14ac:dyDescent="0.3">
      <c r="A193" t="s">
        <v>35</v>
      </c>
      <c r="B193" s="3">
        <v>46082</v>
      </c>
      <c r="C193">
        <v>2428944</v>
      </c>
      <c r="D193">
        <v>1524340</v>
      </c>
      <c r="E193">
        <v>233842</v>
      </c>
      <c r="F193">
        <v>267513</v>
      </c>
      <c r="G193">
        <v>178433</v>
      </c>
      <c r="H193">
        <v>137589</v>
      </c>
      <c r="I193">
        <v>40844</v>
      </c>
      <c r="J193">
        <v>56171</v>
      </c>
      <c r="K193" s="4">
        <f t="shared" si="17"/>
        <v>0.20997484234411037</v>
      </c>
      <c r="L193">
        <v>5637</v>
      </c>
      <c r="M193" s="11">
        <f t="shared" si="15"/>
        <v>0.10035427533780776</v>
      </c>
      <c r="N193">
        <v>50534</v>
      </c>
      <c r="O193" s="11">
        <f t="shared" si="16"/>
        <v>0.89964572466219228</v>
      </c>
      <c r="P193">
        <v>32909</v>
      </c>
    </row>
    <row r="194" spans="1:16" x14ac:dyDescent="0.3">
      <c r="A194" t="s">
        <v>36</v>
      </c>
      <c r="B194" s="3">
        <v>46082</v>
      </c>
      <c r="C194">
        <v>886757</v>
      </c>
      <c r="D194">
        <v>468547</v>
      </c>
      <c r="E194">
        <v>66004</v>
      </c>
      <c r="F194">
        <v>65790</v>
      </c>
      <c r="G194">
        <v>37007</v>
      </c>
      <c r="H194">
        <v>26026</v>
      </c>
      <c r="I194">
        <v>10981</v>
      </c>
      <c r="J194">
        <v>24888</v>
      </c>
      <c r="K194" s="4">
        <f t="shared" si="17"/>
        <v>0.37829457364341085</v>
      </c>
      <c r="L194">
        <v>4089</v>
      </c>
      <c r="M194" s="11">
        <f t="shared" si="15"/>
        <v>0.16429604628736741</v>
      </c>
      <c r="N194">
        <v>20799</v>
      </c>
      <c r="O194" s="11">
        <f t="shared" si="16"/>
        <v>0.83570395371263262</v>
      </c>
      <c r="P194">
        <v>3895</v>
      </c>
    </row>
    <row r="195" spans="1:16" x14ac:dyDescent="0.3">
      <c r="A195" t="s">
        <v>37</v>
      </c>
      <c r="B195" s="3">
        <v>46082</v>
      </c>
      <c r="C195">
        <v>1101912</v>
      </c>
      <c r="D195">
        <v>814781</v>
      </c>
      <c r="E195">
        <v>71050</v>
      </c>
      <c r="F195">
        <v>95936</v>
      </c>
      <c r="G195">
        <v>77297</v>
      </c>
      <c r="H195">
        <v>62977</v>
      </c>
      <c r="I195">
        <v>14320</v>
      </c>
      <c r="J195">
        <v>18409</v>
      </c>
      <c r="K195" s="4">
        <f t="shared" si="17"/>
        <v>0.1918883422281521</v>
      </c>
      <c r="L195">
        <v>5871</v>
      </c>
      <c r="M195" s="11">
        <f t="shared" si="15"/>
        <v>0.31892009343256017</v>
      </c>
      <c r="N195">
        <v>12538</v>
      </c>
      <c r="O195" s="11">
        <f t="shared" si="16"/>
        <v>0.68107990656743989</v>
      </c>
      <c r="P195">
        <v>230</v>
      </c>
    </row>
    <row r="196" spans="1:16" x14ac:dyDescent="0.3">
      <c r="A196" t="s">
        <v>38</v>
      </c>
      <c r="B196" s="3">
        <v>46082</v>
      </c>
      <c r="C196">
        <v>2712277</v>
      </c>
      <c r="D196">
        <v>1585371</v>
      </c>
      <c r="E196">
        <v>199158</v>
      </c>
      <c r="F196">
        <v>234269</v>
      </c>
      <c r="G196">
        <v>133706</v>
      </c>
      <c r="H196">
        <v>38218</v>
      </c>
      <c r="I196">
        <v>95488</v>
      </c>
      <c r="J196">
        <v>31437</v>
      </c>
      <c r="K196" s="4">
        <f t="shared" si="17"/>
        <v>0.13419189051901873</v>
      </c>
      <c r="L196">
        <v>17721</v>
      </c>
      <c r="M196" s="11">
        <f t="shared" si="15"/>
        <v>0.56369882622387635</v>
      </c>
      <c r="N196">
        <v>13716</v>
      </c>
      <c r="O196" s="11">
        <f t="shared" si="16"/>
        <v>0.43630117377612365</v>
      </c>
      <c r="P196">
        <v>69126</v>
      </c>
    </row>
    <row r="197" spans="1:16" x14ac:dyDescent="0.3">
      <c r="A197" t="s">
        <v>39</v>
      </c>
      <c r="B197" s="3">
        <v>46082</v>
      </c>
      <c r="C197">
        <v>255920</v>
      </c>
      <c r="D197">
        <v>173218</v>
      </c>
      <c r="E197">
        <v>24236</v>
      </c>
      <c r="F197">
        <v>12902</v>
      </c>
      <c r="G197">
        <v>10619</v>
      </c>
      <c r="H197">
        <v>10195</v>
      </c>
      <c r="I197">
        <v>424</v>
      </c>
      <c r="J197">
        <v>2211</v>
      </c>
      <c r="K197" s="4">
        <f t="shared" si="17"/>
        <v>0.17136878003410325</v>
      </c>
      <c r="L197">
        <v>680</v>
      </c>
      <c r="M197" s="11">
        <f t="shared" si="15"/>
        <v>0.30755314337403888</v>
      </c>
      <c r="N197">
        <v>1531</v>
      </c>
      <c r="O197" s="11">
        <f t="shared" si="16"/>
        <v>0.69244685662596106</v>
      </c>
      <c r="P197">
        <v>72</v>
      </c>
    </row>
    <row r="198" spans="1:16" x14ac:dyDescent="0.3">
      <c r="A198" t="s">
        <v>40</v>
      </c>
      <c r="B198" s="3">
        <v>46082</v>
      </c>
      <c r="C198">
        <v>851127</v>
      </c>
      <c r="D198">
        <v>366616</v>
      </c>
      <c r="E198">
        <v>65756</v>
      </c>
      <c r="F198">
        <v>74934</v>
      </c>
      <c r="G198">
        <v>56737</v>
      </c>
      <c r="H198">
        <v>50537</v>
      </c>
      <c r="I198">
        <v>6200</v>
      </c>
      <c r="J198">
        <v>17101</v>
      </c>
      <c r="K198" s="4">
        <f t="shared" si="17"/>
        <v>0.22821416179571355</v>
      </c>
      <c r="L198">
        <v>14239</v>
      </c>
      <c r="M198" s="11">
        <f t="shared" si="15"/>
        <v>0.83264136600198824</v>
      </c>
      <c r="N198">
        <v>2862</v>
      </c>
      <c r="O198" s="11">
        <f t="shared" si="16"/>
        <v>0.16735863399801182</v>
      </c>
      <c r="P198">
        <v>1096</v>
      </c>
    </row>
    <row r="199" spans="1:16" x14ac:dyDescent="0.3">
      <c r="A199" t="s">
        <v>41</v>
      </c>
      <c r="B199" s="3">
        <v>46082</v>
      </c>
      <c r="C199">
        <v>125829</v>
      </c>
      <c r="D199">
        <v>63224</v>
      </c>
      <c r="E199">
        <v>12726</v>
      </c>
      <c r="F199">
        <v>12543</v>
      </c>
      <c r="G199">
        <v>10179</v>
      </c>
      <c r="H199">
        <v>6981</v>
      </c>
      <c r="I199">
        <v>3198</v>
      </c>
      <c r="J199">
        <v>2190</v>
      </c>
      <c r="K199" s="4">
        <f t="shared" si="17"/>
        <v>0.17459937813920115</v>
      </c>
      <c r="L199">
        <v>410</v>
      </c>
      <c r="M199" s="11">
        <f t="shared" si="15"/>
        <v>0.18721461187214611</v>
      </c>
      <c r="N199">
        <v>1780</v>
      </c>
      <c r="O199" s="11">
        <f t="shared" si="16"/>
        <v>0.81278538812785384</v>
      </c>
      <c r="P199">
        <v>174</v>
      </c>
    </row>
    <row r="200" spans="1:16" x14ac:dyDescent="0.3">
      <c r="A200" t="s">
        <v>42</v>
      </c>
      <c r="B200" s="3">
        <v>46082</v>
      </c>
      <c r="C200">
        <v>1210685</v>
      </c>
      <c r="D200">
        <v>569548</v>
      </c>
      <c r="E200">
        <v>82604</v>
      </c>
      <c r="F200">
        <v>104983</v>
      </c>
      <c r="G200">
        <v>93705</v>
      </c>
      <c r="H200">
        <v>74443</v>
      </c>
      <c r="I200">
        <v>19262</v>
      </c>
      <c r="J200">
        <v>10963</v>
      </c>
      <c r="K200" s="4">
        <f t="shared" si="17"/>
        <v>0.10442643094596268</v>
      </c>
      <c r="L200">
        <v>3171</v>
      </c>
      <c r="M200" s="11">
        <f t="shared" si="15"/>
        <v>0.28924564444039041</v>
      </c>
      <c r="N200">
        <v>7792</v>
      </c>
      <c r="O200" s="11">
        <f t="shared" si="16"/>
        <v>0.71075435555960964</v>
      </c>
      <c r="P200">
        <v>315</v>
      </c>
    </row>
    <row r="201" spans="1:16" x14ac:dyDescent="0.3">
      <c r="A201" t="s">
        <v>43</v>
      </c>
      <c r="B201" s="3">
        <v>46082</v>
      </c>
      <c r="C201">
        <v>3654515</v>
      </c>
      <c r="D201">
        <v>960405</v>
      </c>
      <c r="E201">
        <v>292926</v>
      </c>
      <c r="F201">
        <v>263874</v>
      </c>
      <c r="G201">
        <v>163446</v>
      </c>
      <c r="H201">
        <v>23158</v>
      </c>
      <c r="I201">
        <v>140288</v>
      </c>
      <c r="J201">
        <v>83890</v>
      </c>
      <c r="K201" s="4">
        <f t="shared" si="17"/>
        <v>0.31791688457369804</v>
      </c>
      <c r="L201">
        <v>28682</v>
      </c>
      <c r="M201" s="11">
        <f t="shared" si="15"/>
        <v>0.34190010728334724</v>
      </c>
      <c r="N201">
        <v>55208</v>
      </c>
      <c r="O201" s="11">
        <f t="shared" si="16"/>
        <v>0.65809989271665281</v>
      </c>
      <c r="P201">
        <v>16538</v>
      </c>
    </row>
    <row r="202" spans="1:16" x14ac:dyDescent="0.3">
      <c r="A202" t="s">
        <v>44</v>
      </c>
      <c r="B202" s="3">
        <v>46082</v>
      </c>
      <c r="C202">
        <v>291584</v>
      </c>
      <c r="D202">
        <v>163168</v>
      </c>
      <c r="E202">
        <v>24894</v>
      </c>
      <c r="F202">
        <v>30255</v>
      </c>
      <c r="G202">
        <v>16264</v>
      </c>
      <c r="H202">
        <v>10458</v>
      </c>
      <c r="I202">
        <v>5806</v>
      </c>
      <c r="J202">
        <v>8560</v>
      </c>
      <c r="K202" s="4">
        <f t="shared" si="17"/>
        <v>0.28292844157990416</v>
      </c>
      <c r="L202">
        <v>849</v>
      </c>
      <c r="M202" s="11">
        <f t="shared" si="15"/>
        <v>9.9182242990654201E-2</v>
      </c>
      <c r="N202">
        <v>7711</v>
      </c>
      <c r="O202" s="11">
        <f t="shared" si="16"/>
        <v>0.90081775700934574</v>
      </c>
      <c r="P202">
        <v>5431</v>
      </c>
    </row>
    <row r="203" spans="1:16" x14ac:dyDescent="0.3">
      <c r="A203" t="s">
        <v>45</v>
      </c>
      <c r="B203" s="3">
        <v>46082</v>
      </c>
      <c r="C203">
        <v>1467161</v>
      </c>
      <c r="D203">
        <v>865771</v>
      </c>
      <c r="E203">
        <v>159404</v>
      </c>
      <c r="F203">
        <v>129742</v>
      </c>
      <c r="G203">
        <v>115939</v>
      </c>
      <c r="H203">
        <v>62639</v>
      </c>
      <c r="I203">
        <v>53300</v>
      </c>
      <c r="J203">
        <v>10222</v>
      </c>
      <c r="K203" s="4">
        <f t="shared" si="17"/>
        <v>7.8787131383823275E-2</v>
      </c>
      <c r="L203">
        <v>2312</v>
      </c>
      <c r="M203" s="11">
        <f t="shared" si="15"/>
        <v>0.22617882997456468</v>
      </c>
      <c r="N203">
        <v>7910</v>
      </c>
      <c r="O203" s="11">
        <f t="shared" si="16"/>
        <v>0.77382117002543538</v>
      </c>
      <c r="P203">
        <v>3581</v>
      </c>
    </row>
    <row r="204" spans="1:16" x14ac:dyDescent="0.3">
      <c r="A204" t="s">
        <v>46</v>
      </c>
      <c r="B204" s="3">
        <v>46082</v>
      </c>
      <c r="C204">
        <v>142904</v>
      </c>
      <c r="D204">
        <v>91447</v>
      </c>
      <c r="E204">
        <v>14923</v>
      </c>
      <c r="F204">
        <v>12639</v>
      </c>
      <c r="G204">
        <v>8891</v>
      </c>
      <c r="H204">
        <v>8033</v>
      </c>
      <c r="I204">
        <v>858</v>
      </c>
      <c r="J204">
        <v>2251</v>
      </c>
      <c r="K204" s="4">
        <f t="shared" si="17"/>
        <v>0.17809953319091701</v>
      </c>
      <c r="L204">
        <v>322</v>
      </c>
      <c r="M204" s="11">
        <f t="shared" si="15"/>
        <v>0.14304753442914261</v>
      </c>
      <c r="N204">
        <v>1929</v>
      </c>
      <c r="O204" s="11">
        <f t="shared" si="16"/>
        <v>0.85695246557085736</v>
      </c>
      <c r="P204">
        <v>1497</v>
      </c>
    </row>
    <row r="205" spans="1:16" x14ac:dyDescent="0.3">
      <c r="A205" t="s">
        <v>47</v>
      </c>
      <c r="B205" s="3">
        <v>46082</v>
      </c>
      <c r="C205">
        <v>1720278</v>
      </c>
      <c r="D205">
        <v>971493</v>
      </c>
      <c r="E205">
        <v>138191</v>
      </c>
      <c r="F205">
        <v>115414</v>
      </c>
      <c r="G205">
        <v>102370</v>
      </c>
      <c r="H205">
        <v>95761</v>
      </c>
      <c r="I205">
        <v>6609</v>
      </c>
      <c r="J205">
        <v>12287</v>
      </c>
      <c r="K205" s="4">
        <f t="shared" si="17"/>
        <v>0.1064602214636006</v>
      </c>
      <c r="L205">
        <v>2168</v>
      </c>
      <c r="M205" s="11">
        <f t="shared" si="15"/>
        <v>0.17644665093187922</v>
      </c>
      <c r="N205">
        <v>10119</v>
      </c>
      <c r="O205" s="11">
        <f t="shared" si="16"/>
        <v>0.82355334906812083</v>
      </c>
      <c r="P205">
        <v>757</v>
      </c>
    </row>
    <row r="206" spans="1:16" x14ac:dyDescent="0.3">
      <c r="A206" t="s">
        <v>48</v>
      </c>
      <c r="B206" s="3">
        <v>46082</v>
      </c>
      <c r="C206">
        <v>1022168</v>
      </c>
      <c r="D206">
        <v>583438</v>
      </c>
      <c r="E206">
        <v>79477</v>
      </c>
      <c r="F206">
        <v>77922</v>
      </c>
      <c r="G206">
        <v>51566</v>
      </c>
      <c r="H206">
        <v>28842</v>
      </c>
      <c r="I206">
        <v>22724</v>
      </c>
      <c r="J206">
        <v>20235</v>
      </c>
      <c r="K206" s="4">
        <f t="shared" si="17"/>
        <v>0.25968275968275967</v>
      </c>
      <c r="L206">
        <v>9512</v>
      </c>
      <c r="M206" s="11">
        <f t="shared" si="15"/>
        <v>0.47007659995058065</v>
      </c>
      <c r="N206">
        <v>10723</v>
      </c>
      <c r="O206" s="11">
        <f t="shared" si="16"/>
        <v>0.52992340004941929</v>
      </c>
      <c r="P206">
        <v>6121</v>
      </c>
    </row>
    <row r="207" spans="1:16" x14ac:dyDescent="0.3">
      <c r="A207" t="s">
        <v>49</v>
      </c>
      <c r="B207" s="3">
        <v>46082</v>
      </c>
      <c r="C207">
        <v>448142</v>
      </c>
      <c r="D207">
        <v>294871</v>
      </c>
      <c r="E207">
        <v>27421</v>
      </c>
      <c r="F207">
        <v>31021</v>
      </c>
      <c r="G207">
        <v>25378</v>
      </c>
      <c r="H207">
        <v>19339</v>
      </c>
      <c r="I207">
        <v>6039</v>
      </c>
      <c r="J207">
        <v>5346</v>
      </c>
      <c r="K207" s="4">
        <f>J207/F207</f>
        <v>0.17233486992682376</v>
      </c>
      <c r="L207">
        <v>1174</v>
      </c>
      <c r="M207" s="11">
        <f t="shared" si="15"/>
        <v>0.21960344182566405</v>
      </c>
      <c r="N207">
        <v>4172</v>
      </c>
      <c r="O207" s="11">
        <f t="shared" si="16"/>
        <v>0.78039655817433595</v>
      </c>
      <c r="P207">
        <v>297</v>
      </c>
    </row>
    <row r="208" spans="1:16" x14ac:dyDescent="0.3">
      <c r="A208" t="s">
        <v>50</v>
      </c>
      <c r="B208" s="3">
        <v>46082</v>
      </c>
      <c r="C208">
        <v>55909</v>
      </c>
      <c r="D208">
        <v>20196</v>
      </c>
      <c r="E208">
        <v>3891</v>
      </c>
      <c r="F208">
        <v>4282</v>
      </c>
      <c r="G208">
        <v>3481</v>
      </c>
      <c r="H208">
        <v>2320</v>
      </c>
      <c r="I208">
        <v>1161</v>
      </c>
      <c r="J208">
        <v>275</v>
      </c>
      <c r="K208" s="4">
        <f>J208/F208</f>
        <v>6.4222326015880432E-2</v>
      </c>
      <c r="L208">
        <v>245</v>
      </c>
      <c r="M208" s="11">
        <f>L208/J208</f>
        <v>0.89090909090909087</v>
      </c>
      <c r="N208">
        <v>30</v>
      </c>
      <c r="O208" s="11">
        <f>N208/J208</f>
        <v>0.10909090909090909</v>
      </c>
      <c r="P208">
        <v>526</v>
      </c>
    </row>
    <row r="209" spans="1:16" s="1" customFormat="1" x14ac:dyDescent="0.3">
      <c r="A209" s="1" t="s">
        <v>63</v>
      </c>
      <c r="B209" s="3">
        <v>46082</v>
      </c>
      <c r="C209" s="1">
        <f t="shared" ref="C209:J209" si="18">SUM(C158:C208)</f>
        <v>67080865</v>
      </c>
      <c r="D209" s="1">
        <f t="shared" si="18"/>
        <v>38722735</v>
      </c>
      <c r="E209" s="1">
        <f t="shared" si="18"/>
        <v>5863880</v>
      </c>
      <c r="F209" s="1">
        <f t="shared" si="18"/>
        <v>6162615</v>
      </c>
      <c r="G209" s="1">
        <f t="shared" si="18"/>
        <v>4203003</v>
      </c>
      <c r="H209" s="1">
        <f t="shared" ref="H209" si="19">SUM(H158:H208)</f>
        <v>2963222</v>
      </c>
      <c r="I209" s="1">
        <f t="shared" ref="I209" si="20">SUM(I158:I208)</f>
        <v>1239780</v>
      </c>
      <c r="J209" s="1">
        <f t="shared" si="18"/>
        <v>1213534</v>
      </c>
      <c r="K209" s="9">
        <f>J209/F209</f>
        <v>0.19691867819099521</v>
      </c>
      <c r="L209" s="1">
        <f>SUM(L158:L208)</f>
        <v>318520</v>
      </c>
      <c r="M209" s="9">
        <f>L209/J209</f>
        <v>0.26247307450800716</v>
      </c>
      <c r="N209" s="1">
        <f>SUM(N158:N208)</f>
        <v>895014</v>
      </c>
      <c r="O209" s="9">
        <f>N209/J209</f>
        <v>0.73752692549199284</v>
      </c>
      <c r="P209" s="1">
        <f>SUM(P158:P208)</f>
        <v>746076</v>
      </c>
    </row>
    <row r="210" spans="1:16" x14ac:dyDescent="0.3">
      <c r="A210" t="s">
        <v>0</v>
      </c>
      <c r="B210" s="3">
        <v>46113</v>
      </c>
      <c r="C210">
        <v>195934</v>
      </c>
      <c r="D210">
        <v>124115</v>
      </c>
      <c r="E210">
        <v>29128</v>
      </c>
      <c r="F210">
        <v>17318</v>
      </c>
      <c r="G210">
        <v>7704</v>
      </c>
      <c r="H210">
        <v>4719</v>
      </c>
      <c r="I210">
        <v>2985</v>
      </c>
      <c r="J210">
        <v>6050</v>
      </c>
      <c r="K210" s="4">
        <f>J210/F210</f>
        <v>0.34934749971128304</v>
      </c>
      <c r="L210">
        <v>1814</v>
      </c>
      <c r="M210" s="11">
        <f t="shared" ref="M210:M260" si="21">L210/J210</f>
        <v>0.29983471074380164</v>
      </c>
      <c r="N210">
        <v>4236</v>
      </c>
      <c r="O210" s="11">
        <f>N210/J210</f>
        <v>0.70016528925619836</v>
      </c>
      <c r="P210">
        <v>3564</v>
      </c>
    </row>
    <row r="211" spans="1:16" x14ac:dyDescent="0.3">
      <c r="A211" t="s">
        <v>1</v>
      </c>
      <c r="B211" s="3">
        <v>46113</v>
      </c>
      <c r="C211">
        <v>736452</v>
      </c>
      <c r="D211">
        <v>263760</v>
      </c>
      <c r="E211">
        <v>105959</v>
      </c>
      <c r="F211">
        <v>201219</v>
      </c>
      <c r="G211">
        <v>155405</v>
      </c>
      <c r="H211">
        <v>41404</v>
      </c>
      <c r="I211">
        <v>114001</v>
      </c>
      <c r="J211">
        <v>42256</v>
      </c>
      <c r="K211" s="4">
        <f t="shared" ref="K211:K260" si="22">J211/F211</f>
        <v>0.21000004969709621</v>
      </c>
      <c r="L211">
        <v>16635</v>
      </c>
      <c r="M211" s="11">
        <f t="shared" si="21"/>
        <v>0.3936719045815979</v>
      </c>
      <c r="N211">
        <v>25621</v>
      </c>
      <c r="O211" s="11">
        <f t="shared" ref="O211:O259" si="23">N211/J211</f>
        <v>0.60632809541840216</v>
      </c>
      <c r="P211">
        <v>3558</v>
      </c>
    </row>
    <row r="212" spans="1:16" x14ac:dyDescent="0.3">
      <c r="A212" t="s">
        <v>2</v>
      </c>
      <c r="B212" s="3">
        <v>46113</v>
      </c>
      <c r="C212">
        <v>712971</v>
      </c>
      <c r="D212">
        <v>392597</v>
      </c>
      <c r="E212">
        <v>54660</v>
      </c>
      <c r="F212">
        <v>56883</v>
      </c>
      <c r="G212">
        <v>47032</v>
      </c>
      <c r="H212">
        <v>40551</v>
      </c>
      <c r="I212">
        <v>6481</v>
      </c>
      <c r="J212">
        <v>9725</v>
      </c>
      <c r="K212" s="4">
        <f t="shared" si="22"/>
        <v>0.17096496317001564</v>
      </c>
      <c r="L212">
        <v>2594</v>
      </c>
      <c r="M212" s="11">
        <f t="shared" si="21"/>
        <v>0.26673521850899745</v>
      </c>
      <c r="N212">
        <v>7131</v>
      </c>
      <c r="O212" s="11">
        <f t="shared" si="23"/>
        <v>0.7332647814910026</v>
      </c>
      <c r="P212">
        <v>126</v>
      </c>
    </row>
    <row r="213" spans="1:16" x14ac:dyDescent="0.3">
      <c r="A213" t="s">
        <v>3</v>
      </c>
      <c r="B213" s="3">
        <v>46113</v>
      </c>
      <c r="C213">
        <v>1524695</v>
      </c>
      <c r="D213">
        <v>921021</v>
      </c>
      <c r="E213">
        <v>98805</v>
      </c>
      <c r="F213">
        <v>151629</v>
      </c>
      <c r="G213">
        <v>115039</v>
      </c>
      <c r="H213">
        <v>104097</v>
      </c>
      <c r="I213">
        <v>10942</v>
      </c>
      <c r="J213">
        <v>29569</v>
      </c>
      <c r="K213" s="4">
        <f t="shared" si="22"/>
        <v>0.19500887033483041</v>
      </c>
      <c r="L213">
        <v>8539</v>
      </c>
      <c r="M213" s="11">
        <f t="shared" si="21"/>
        <v>0.28878217051641925</v>
      </c>
      <c r="N213">
        <v>21030</v>
      </c>
      <c r="O213" s="11">
        <f t="shared" si="23"/>
        <v>0.71121782948358081</v>
      </c>
      <c r="P213">
        <v>7021</v>
      </c>
    </row>
    <row r="214" spans="1:16" x14ac:dyDescent="0.3">
      <c r="A214" t="s">
        <v>4</v>
      </c>
      <c r="B214" s="3">
        <v>46113</v>
      </c>
      <c r="C214">
        <v>10577595</v>
      </c>
      <c r="D214">
        <v>7339565</v>
      </c>
      <c r="E214">
        <v>1029874</v>
      </c>
      <c r="F214">
        <v>948297</v>
      </c>
      <c r="G214">
        <v>544333</v>
      </c>
      <c r="H214">
        <v>402331</v>
      </c>
      <c r="I214">
        <v>142002</v>
      </c>
      <c r="J214">
        <v>201127</v>
      </c>
      <c r="K214" s="4">
        <f t="shared" si="22"/>
        <v>0.21209283589423988</v>
      </c>
      <c r="L214">
        <v>15641</v>
      </c>
      <c r="M214" s="11">
        <f t="shared" si="21"/>
        <v>7.7766784171195313E-2</v>
      </c>
      <c r="N214">
        <v>185486</v>
      </c>
      <c r="O214" s="11">
        <f t="shared" si="23"/>
        <v>0.92223321582880469</v>
      </c>
      <c r="P214">
        <v>202837</v>
      </c>
    </row>
    <row r="215" spans="1:16" x14ac:dyDescent="0.3">
      <c r="A215" t="s">
        <v>5</v>
      </c>
      <c r="B215" s="3">
        <v>46113</v>
      </c>
      <c r="C215">
        <v>1054146</v>
      </c>
      <c r="D215">
        <v>665600</v>
      </c>
      <c r="E215">
        <v>85937</v>
      </c>
      <c r="F215">
        <v>92499</v>
      </c>
      <c r="G215">
        <v>71411</v>
      </c>
      <c r="H215">
        <v>52953</v>
      </c>
      <c r="I215">
        <v>18458</v>
      </c>
      <c r="J215">
        <v>19100</v>
      </c>
      <c r="K215" s="4">
        <f>J215/F215</f>
        <v>0.20648871879695996</v>
      </c>
      <c r="L215">
        <v>7602</v>
      </c>
      <c r="M215" s="11">
        <f t="shared" si="21"/>
        <v>0.39801047120418848</v>
      </c>
      <c r="N215">
        <v>11498</v>
      </c>
      <c r="O215" s="11">
        <f t="shared" si="23"/>
        <v>0.60198952879581147</v>
      </c>
      <c r="P215">
        <v>1988</v>
      </c>
    </row>
    <row r="216" spans="1:16" x14ac:dyDescent="0.3">
      <c r="A216" t="s">
        <v>6</v>
      </c>
      <c r="B216" s="3">
        <v>46113</v>
      </c>
      <c r="C216">
        <v>874182</v>
      </c>
      <c r="D216">
        <v>536733</v>
      </c>
      <c r="E216">
        <v>87434</v>
      </c>
      <c r="F216">
        <v>78137</v>
      </c>
      <c r="G216">
        <v>67464</v>
      </c>
      <c r="H216">
        <v>63959</v>
      </c>
      <c r="I216">
        <v>3505</v>
      </c>
      <c r="J216">
        <v>7041</v>
      </c>
      <c r="K216" s="4">
        <f t="shared" si="22"/>
        <v>9.0110958956704248E-2</v>
      </c>
      <c r="L216">
        <v>4054</v>
      </c>
      <c r="M216" s="11">
        <f t="shared" si="21"/>
        <v>0.57577048714671208</v>
      </c>
      <c r="N216">
        <v>2987</v>
      </c>
      <c r="O216" s="11">
        <f t="shared" si="23"/>
        <v>0.42422951285328786</v>
      </c>
      <c r="P216">
        <v>3632</v>
      </c>
    </row>
    <row r="217" spans="1:16" x14ac:dyDescent="0.3">
      <c r="A217" t="s">
        <v>7</v>
      </c>
      <c r="B217" s="3">
        <v>46113</v>
      </c>
      <c r="C217">
        <v>222823</v>
      </c>
      <c r="D217">
        <v>145732</v>
      </c>
      <c r="E217">
        <v>13251</v>
      </c>
      <c r="F217">
        <v>16604</v>
      </c>
      <c r="G217">
        <v>12950</v>
      </c>
      <c r="H217">
        <v>12023</v>
      </c>
      <c r="I217">
        <v>927</v>
      </c>
      <c r="J217">
        <v>2225</v>
      </c>
      <c r="K217" s="4">
        <f t="shared" si="22"/>
        <v>0.13400385449289329</v>
      </c>
      <c r="L217">
        <v>144</v>
      </c>
      <c r="M217" s="11">
        <f t="shared" si="21"/>
        <v>6.471910112359551E-2</v>
      </c>
      <c r="N217">
        <v>2081</v>
      </c>
      <c r="O217" s="11">
        <f t="shared" si="23"/>
        <v>0.93528089887640453</v>
      </c>
      <c r="P217">
        <v>1429</v>
      </c>
    </row>
    <row r="218" spans="1:16" x14ac:dyDescent="0.3">
      <c r="A218" t="s">
        <v>8</v>
      </c>
      <c r="B218" s="3">
        <v>46113</v>
      </c>
      <c r="C218">
        <v>222987</v>
      </c>
      <c r="D218">
        <v>132138</v>
      </c>
      <c r="E218">
        <v>16265</v>
      </c>
      <c r="F218">
        <v>20186</v>
      </c>
      <c r="G218">
        <v>13859</v>
      </c>
      <c r="H218">
        <v>8739</v>
      </c>
      <c r="I218">
        <v>5120</v>
      </c>
      <c r="J218">
        <v>6080</v>
      </c>
      <c r="K218" s="4">
        <f t="shared" si="22"/>
        <v>0.30119885068859603</v>
      </c>
      <c r="L218">
        <v>2046</v>
      </c>
      <c r="M218" s="11">
        <f t="shared" si="21"/>
        <v>0.33651315789473685</v>
      </c>
      <c r="N218">
        <v>4034</v>
      </c>
      <c r="O218" s="11">
        <f t="shared" si="23"/>
        <v>0.66348684210526321</v>
      </c>
      <c r="P218">
        <v>247</v>
      </c>
    </row>
    <row r="219" spans="1:16" x14ac:dyDescent="0.3">
      <c r="A219" t="s">
        <v>9</v>
      </c>
      <c r="B219" s="3">
        <v>46113</v>
      </c>
      <c r="C219">
        <v>3400007</v>
      </c>
      <c r="D219">
        <v>1276906</v>
      </c>
      <c r="E219">
        <v>172329</v>
      </c>
      <c r="F219">
        <v>176275</v>
      </c>
      <c r="G219">
        <v>117025</v>
      </c>
      <c r="H219">
        <v>38476</v>
      </c>
      <c r="I219">
        <v>78549</v>
      </c>
      <c r="J219">
        <v>34099</v>
      </c>
      <c r="K219" s="4">
        <f t="shared" si="22"/>
        <v>0.19344206495532548</v>
      </c>
      <c r="L219">
        <v>14610</v>
      </c>
      <c r="M219" s="11">
        <f t="shared" si="21"/>
        <v>0.42845831256048567</v>
      </c>
      <c r="N219">
        <v>19489</v>
      </c>
      <c r="O219" s="11">
        <f t="shared" si="23"/>
        <v>0.57154168743951439</v>
      </c>
      <c r="P219">
        <v>25151</v>
      </c>
    </row>
    <row r="220" spans="1:16" x14ac:dyDescent="0.3">
      <c r="A220" t="s">
        <v>10</v>
      </c>
      <c r="B220" s="3">
        <v>46113</v>
      </c>
      <c r="C220">
        <v>1662466</v>
      </c>
      <c r="D220">
        <v>547604</v>
      </c>
      <c r="E220">
        <v>122553</v>
      </c>
      <c r="F220">
        <v>239136</v>
      </c>
      <c r="G220">
        <v>148780</v>
      </c>
      <c r="H220">
        <v>115648</v>
      </c>
      <c r="I220">
        <v>33132</v>
      </c>
      <c r="J220">
        <v>61951</v>
      </c>
      <c r="K220" s="4">
        <f t="shared" si="22"/>
        <v>0.25906178910745348</v>
      </c>
      <c r="L220">
        <v>23978</v>
      </c>
      <c r="M220" s="11">
        <f t="shared" si="21"/>
        <v>0.38704782812222566</v>
      </c>
      <c r="N220">
        <v>37973</v>
      </c>
      <c r="O220" s="11">
        <f t="shared" si="23"/>
        <v>0.6129521718777744</v>
      </c>
      <c r="P220">
        <v>28405</v>
      </c>
    </row>
    <row r="221" spans="1:16" x14ac:dyDescent="0.3">
      <c r="A221" t="s">
        <v>11</v>
      </c>
      <c r="B221" s="3">
        <v>46113</v>
      </c>
      <c r="C221">
        <v>366500</v>
      </c>
      <c r="D221">
        <v>237680</v>
      </c>
      <c r="E221">
        <v>39124</v>
      </c>
      <c r="F221">
        <v>26046</v>
      </c>
      <c r="G221">
        <v>22161</v>
      </c>
      <c r="H221">
        <v>18323</v>
      </c>
      <c r="I221">
        <v>3838</v>
      </c>
      <c r="J221">
        <v>3117</v>
      </c>
      <c r="K221" s="4">
        <f t="shared" si="22"/>
        <v>0.11967288643169777</v>
      </c>
      <c r="L221">
        <v>590</v>
      </c>
      <c r="M221" s="11">
        <f t="shared" si="21"/>
        <v>0.18928456849534808</v>
      </c>
      <c r="N221">
        <v>2527</v>
      </c>
      <c r="O221" s="11">
        <f t="shared" si="23"/>
        <v>0.81071543150465186</v>
      </c>
      <c r="P221">
        <v>768</v>
      </c>
    </row>
    <row r="222" spans="1:16" x14ac:dyDescent="0.3">
      <c r="A222" t="s">
        <v>12</v>
      </c>
      <c r="B222" s="3">
        <v>46113</v>
      </c>
      <c r="C222">
        <v>589894</v>
      </c>
      <c r="D222">
        <v>341433</v>
      </c>
      <c r="E222">
        <v>50176</v>
      </c>
      <c r="F222">
        <v>58912</v>
      </c>
      <c r="G222">
        <v>47321</v>
      </c>
      <c r="H222">
        <v>33892</v>
      </c>
      <c r="I222">
        <v>13429</v>
      </c>
      <c r="J222">
        <v>8053</v>
      </c>
      <c r="K222" s="4">
        <f t="shared" si="22"/>
        <v>0.13669541010320477</v>
      </c>
      <c r="L222">
        <v>1693</v>
      </c>
      <c r="M222" s="11">
        <f t="shared" si="21"/>
        <v>0.21023221159816219</v>
      </c>
      <c r="N222">
        <v>6360</v>
      </c>
      <c r="O222" s="11">
        <f t="shared" si="23"/>
        <v>0.78976778840183781</v>
      </c>
      <c r="P222">
        <v>3538</v>
      </c>
    </row>
    <row r="223" spans="1:16" x14ac:dyDescent="0.3">
      <c r="A223" t="s">
        <v>13</v>
      </c>
      <c r="B223" s="3">
        <v>46113</v>
      </c>
      <c r="C223">
        <v>294322</v>
      </c>
      <c r="D223">
        <v>162191</v>
      </c>
      <c r="E223">
        <v>24148</v>
      </c>
      <c r="F223">
        <v>24149</v>
      </c>
      <c r="G223">
        <v>23554</v>
      </c>
      <c r="H223">
        <v>10812</v>
      </c>
      <c r="I223">
        <v>12742</v>
      </c>
      <c r="J223">
        <v>537</v>
      </c>
      <c r="K223" s="4">
        <f t="shared" si="22"/>
        <v>2.2236945629218602E-2</v>
      </c>
      <c r="L223">
        <v>524</v>
      </c>
      <c r="M223" s="11">
        <f t="shared" si="21"/>
        <v>0.97579143389199252</v>
      </c>
      <c r="N223">
        <v>13</v>
      </c>
      <c r="O223" s="11">
        <f t="shared" si="23"/>
        <v>2.4208566108007448E-2</v>
      </c>
      <c r="P223">
        <v>58</v>
      </c>
    </row>
    <row r="224" spans="1:16" x14ac:dyDescent="0.3">
      <c r="A224" t="s">
        <v>14</v>
      </c>
      <c r="B224" s="3">
        <v>46113</v>
      </c>
      <c r="C224">
        <v>2661257</v>
      </c>
      <c r="D224">
        <v>1630448</v>
      </c>
      <c r="E224">
        <v>201287</v>
      </c>
      <c r="F224">
        <v>202881</v>
      </c>
      <c r="G224">
        <v>156985</v>
      </c>
      <c r="H224">
        <v>131055</v>
      </c>
      <c r="I224">
        <v>25930</v>
      </c>
      <c r="J224">
        <v>26833</v>
      </c>
      <c r="K224" s="4">
        <f t="shared" si="22"/>
        <v>0.13225979761535087</v>
      </c>
      <c r="L224">
        <v>7526</v>
      </c>
      <c r="M224" s="11">
        <f t="shared" si="21"/>
        <v>0.28047553385756346</v>
      </c>
      <c r="N224">
        <v>19307</v>
      </c>
      <c r="O224" s="11">
        <f t="shared" si="23"/>
        <v>0.71952446614243659</v>
      </c>
      <c r="P224">
        <v>19063</v>
      </c>
    </row>
    <row r="225" spans="1:16" x14ac:dyDescent="0.3">
      <c r="A225" t="s">
        <v>15</v>
      </c>
      <c r="B225" s="3">
        <v>46113</v>
      </c>
      <c r="C225">
        <v>1277765</v>
      </c>
      <c r="D225">
        <v>735553</v>
      </c>
      <c r="E225">
        <v>98256</v>
      </c>
      <c r="F225">
        <v>87136</v>
      </c>
      <c r="G225">
        <v>14117</v>
      </c>
      <c r="H225">
        <v>4542</v>
      </c>
      <c r="I225">
        <v>9575</v>
      </c>
      <c r="J225">
        <v>41209</v>
      </c>
      <c r="K225" s="4">
        <f t="shared" si="22"/>
        <v>0.47292737789203088</v>
      </c>
      <c r="L225">
        <v>896</v>
      </c>
      <c r="M225" s="11">
        <f t="shared" si="21"/>
        <v>2.1742823169695939E-2</v>
      </c>
      <c r="N225">
        <v>40313</v>
      </c>
      <c r="O225" s="11">
        <f t="shared" si="23"/>
        <v>0.97825717683030411</v>
      </c>
      <c r="P225">
        <v>31810</v>
      </c>
    </row>
    <row r="226" spans="1:16" x14ac:dyDescent="0.3">
      <c r="A226" t="s">
        <v>16</v>
      </c>
      <c r="B226" s="3">
        <v>46113</v>
      </c>
      <c r="C226">
        <v>317953</v>
      </c>
      <c r="D226">
        <v>117826</v>
      </c>
      <c r="E226">
        <v>38980</v>
      </c>
      <c r="F226">
        <v>36241</v>
      </c>
      <c r="G226">
        <v>29349</v>
      </c>
      <c r="H226">
        <v>16944</v>
      </c>
      <c r="I226">
        <v>12405</v>
      </c>
      <c r="J226">
        <v>5430</v>
      </c>
      <c r="K226" s="4">
        <f t="shared" si="22"/>
        <v>0.14983030269584172</v>
      </c>
      <c r="L226">
        <v>3272</v>
      </c>
      <c r="M226" s="11">
        <f t="shared" si="21"/>
        <v>0.60257826887661137</v>
      </c>
      <c r="N226">
        <v>2158</v>
      </c>
      <c r="O226" s="11">
        <f t="shared" si="23"/>
        <v>0.39742173112338858</v>
      </c>
      <c r="P226">
        <v>1462</v>
      </c>
    </row>
    <row r="227" spans="1:16" x14ac:dyDescent="0.3">
      <c r="A227" t="s">
        <v>17</v>
      </c>
      <c r="B227" s="3">
        <v>46113</v>
      </c>
      <c r="C227">
        <v>1164950</v>
      </c>
      <c r="D227">
        <v>718711</v>
      </c>
      <c r="E227">
        <v>91933</v>
      </c>
      <c r="F227">
        <v>154822</v>
      </c>
      <c r="G227">
        <v>134761</v>
      </c>
      <c r="H227">
        <v>119284</v>
      </c>
      <c r="I227">
        <v>15477</v>
      </c>
      <c r="J227">
        <v>19146</v>
      </c>
      <c r="K227" s="4">
        <f t="shared" si="22"/>
        <v>0.12366459547092791</v>
      </c>
      <c r="L227">
        <v>5750</v>
      </c>
      <c r="M227" s="11">
        <f t="shared" si="21"/>
        <v>0.30032382743131725</v>
      </c>
      <c r="N227">
        <v>13396</v>
      </c>
      <c r="O227" s="11">
        <f t="shared" si="23"/>
        <v>0.69967617256868275</v>
      </c>
      <c r="P227">
        <v>915</v>
      </c>
    </row>
    <row r="228" spans="1:16" x14ac:dyDescent="0.3">
      <c r="A228" t="s">
        <v>18</v>
      </c>
      <c r="B228" s="3">
        <v>46113</v>
      </c>
      <c r="C228">
        <v>1164490</v>
      </c>
      <c r="D228">
        <v>649414</v>
      </c>
      <c r="E228">
        <v>96868</v>
      </c>
      <c r="F228">
        <v>129160</v>
      </c>
      <c r="G228">
        <v>75935</v>
      </c>
      <c r="H228">
        <v>53461</v>
      </c>
      <c r="I228">
        <v>22474</v>
      </c>
      <c r="J228">
        <v>34140</v>
      </c>
      <c r="K228" s="4">
        <f t="shared" si="22"/>
        <v>0.26432331991328584</v>
      </c>
      <c r="L228">
        <v>4672</v>
      </c>
      <c r="M228" s="11">
        <f t="shared" si="21"/>
        <v>0.13684827182190978</v>
      </c>
      <c r="N228">
        <v>29468</v>
      </c>
      <c r="O228" s="11">
        <f t="shared" si="23"/>
        <v>0.86315172817809027</v>
      </c>
      <c r="P228">
        <v>19085</v>
      </c>
    </row>
    <row r="229" spans="1:16" x14ac:dyDescent="0.3">
      <c r="A229" t="s">
        <v>19</v>
      </c>
      <c r="B229" s="3">
        <v>46113</v>
      </c>
      <c r="C229">
        <v>1363711</v>
      </c>
      <c r="D229">
        <v>876148</v>
      </c>
      <c r="E229">
        <v>75371</v>
      </c>
      <c r="F229">
        <v>153865</v>
      </c>
      <c r="G229">
        <v>125522</v>
      </c>
      <c r="H229">
        <v>96715</v>
      </c>
      <c r="I229">
        <v>28807</v>
      </c>
      <c r="J229">
        <v>27370</v>
      </c>
      <c r="K229" s="4">
        <f t="shared" si="22"/>
        <v>0.17788320930685991</v>
      </c>
      <c r="L229">
        <v>6917</v>
      </c>
      <c r="M229" s="11">
        <f t="shared" si="21"/>
        <v>0.25272195834855682</v>
      </c>
      <c r="N229">
        <v>20453</v>
      </c>
      <c r="O229" s="11">
        <f t="shared" si="23"/>
        <v>0.74727804165144318</v>
      </c>
      <c r="P229">
        <v>973</v>
      </c>
    </row>
    <row r="230" spans="1:16" x14ac:dyDescent="0.3">
      <c r="A230" t="s">
        <v>20</v>
      </c>
      <c r="B230" s="3">
        <v>46113</v>
      </c>
      <c r="C230">
        <v>1187556</v>
      </c>
      <c r="D230">
        <v>720112</v>
      </c>
      <c r="E230">
        <v>89380</v>
      </c>
      <c r="F230">
        <v>89153</v>
      </c>
      <c r="G230">
        <v>62471</v>
      </c>
      <c r="H230">
        <v>45603</v>
      </c>
      <c r="I230">
        <v>16868</v>
      </c>
      <c r="J230">
        <v>23498</v>
      </c>
      <c r="K230" s="4">
        <f t="shared" si="22"/>
        <v>0.26356936951084092</v>
      </c>
      <c r="L230">
        <v>3068</v>
      </c>
      <c r="M230" s="11">
        <f t="shared" si="21"/>
        <v>0.13056430334496552</v>
      </c>
      <c r="N230">
        <v>20430</v>
      </c>
      <c r="O230" s="11">
        <f t="shared" si="23"/>
        <v>0.86943569665503451</v>
      </c>
      <c r="P230">
        <v>3184</v>
      </c>
    </row>
    <row r="231" spans="1:16" x14ac:dyDescent="0.3">
      <c r="A231" t="s">
        <v>21</v>
      </c>
      <c r="B231" s="3">
        <v>46113</v>
      </c>
      <c r="C231">
        <v>312287</v>
      </c>
      <c r="D231">
        <v>194097</v>
      </c>
      <c r="E231">
        <v>32267</v>
      </c>
      <c r="F231">
        <v>30186</v>
      </c>
      <c r="G231">
        <v>24154</v>
      </c>
      <c r="H231">
        <v>22996</v>
      </c>
      <c r="I231">
        <v>1158</v>
      </c>
      <c r="J231">
        <v>2518</v>
      </c>
      <c r="K231" s="4">
        <f t="shared" si="22"/>
        <v>8.3416153183595049E-2</v>
      </c>
      <c r="L231">
        <v>401</v>
      </c>
      <c r="M231" s="11">
        <f t="shared" si="21"/>
        <v>0.15925337569499604</v>
      </c>
      <c r="N231">
        <v>2117</v>
      </c>
      <c r="O231" s="11">
        <f t="shared" si="23"/>
        <v>0.84074662430500402</v>
      </c>
      <c r="P231">
        <v>3514</v>
      </c>
    </row>
    <row r="232" spans="1:16" x14ac:dyDescent="0.3">
      <c r="A232" t="s">
        <v>22</v>
      </c>
      <c r="B232" s="3">
        <v>46113</v>
      </c>
      <c r="C232">
        <v>2000953</v>
      </c>
      <c r="D232">
        <v>1292850</v>
      </c>
      <c r="E232">
        <v>160428</v>
      </c>
      <c r="F232">
        <v>176751</v>
      </c>
      <c r="G232">
        <v>133922</v>
      </c>
      <c r="H232">
        <v>102638</v>
      </c>
      <c r="I232">
        <v>31284</v>
      </c>
      <c r="J232">
        <v>33242</v>
      </c>
      <c r="K232" s="4">
        <f t="shared" si="22"/>
        <v>0.18807248615283648</v>
      </c>
      <c r="L232">
        <v>5687</v>
      </c>
      <c r="M232" s="11">
        <f t="shared" si="21"/>
        <v>0.17107875579086698</v>
      </c>
      <c r="N232">
        <v>27555</v>
      </c>
      <c r="O232" s="11">
        <f t="shared" si="23"/>
        <v>0.82892124420913305</v>
      </c>
      <c r="P232">
        <v>9587</v>
      </c>
    </row>
    <row r="233" spans="1:16" x14ac:dyDescent="0.3">
      <c r="A233" t="s">
        <v>23</v>
      </c>
      <c r="B233" s="3">
        <v>46113</v>
      </c>
      <c r="C233">
        <v>1130415</v>
      </c>
      <c r="D233">
        <v>539504</v>
      </c>
      <c r="E233">
        <v>80366</v>
      </c>
      <c r="F233">
        <v>90705</v>
      </c>
      <c r="G233">
        <v>74256</v>
      </c>
      <c r="H233">
        <v>63807</v>
      </c>
      <c r="I233">
        <v>10449</v>
      </c>
      <c r="J233">
        <v>16449</v>
      </c>
      <c r="K233" s="4">
        <f t="shared" si="22"/>
        <v>0.18134612204398876</v>
      </c>
      <c r="L233">
        <v>2312</v>
      </c>
      <c r="M233" s="11">
        <f t="shared" si="21"/>
        <v>0.14055565687883761</v>
      </c>
      <c r="N233">
        <v>14137</v>
      </c>
      <c r="O233" s="11">
        <f t="shared" si="23"/>
        <v>0.85944434312116236</v>
      </c>
      <c r="P233">
        <v>0</v>
      </c>
    </row>
    <row r="234" spans="1:16" x14ac:dyDescent="0.3">
      <c r="A234" t="s">
        <v>24</v>
      </c>
      <c r="B234" s="3">
        <v>46113</v>
      </c>
      <c r="C234">
        <v>1113547</v>
      </c>
      <c r="D234">
        <v>679565</v>
      </c>
      <c r="E234">
        <v>85970</v>
      </c>
      <c r="F234">
        <v>95192</v>
      </c>
      <c r="G234">
        <v>57614</v>
      </c>
      <c r="H234">
        <v>51763</v>
      </c>
      <c r="I234">
        <v>5851</v>
      </c>
      <c r="J234">
        <v>19384</v>
      </c>
      <c r="K234" s="4">
        <f t="shared" si="22"/>
        <v>0.20363055718967982</v>
      </c>
      <c r="L234">
        <v>1518</v>
      </c>
      <c r="M234" s="11">
        <f t="shared" si="21"/>
        <v>7.8312009905076349E-2</v>
      </c>
      <c r="N234">
        <v>17866</v>
      </c>
      <c r="O234" s="11">
        <f t="shared" si="23"/>
        <v>0.92168799009492364</v>
      </c>
      <c r="P234">
        <v>18194</v>
      </c>
    </row>
    <row r="235" spans="1:16" x14ac:dyDescent="0.3">
      <c r="A235" t="s">
        <v>25</v>
      </c>
      <c r="B235" s="3">
        <v>46113</v>
      </c>
      <c r="C235">
        <v>502060</v>
      </c>
      <c r="D235">
        <v>195605</v>
      </c>
      <c r="E235">
        <v>49746</v>
      </c>
      <c r="F235">
        <v>43457</v>
      </c>
      <c r="G235">
        <v>37145</v>
      </c>
      <c r="H235">
        <v>17455</v>
      </c>
      <c r="I235">
        <v>19690</v>
      </c>
      <c r="J235">
        <v>6296</v>
      </c>
      <c r="K235" s="4">
        <f t="shared" si="22"/>
        <v>0.14487884575557447</v>
      </c>
      <c r="L235">
        <v>1155</v>
      </c>
      <c r="M235" s="11">
        <f t="shared" si="21"/>
        <v>0.18344980940279543</v>
      </c>
      <c r="N235">
        <v>5141</v>
      </c>
      <c r="O235" s="11">
        <f t="shared" si="23"/>
        <v>0.81655019059720457</v>
      </c>
      <c r="P235">
        <v>16</v>
      </c>
    </row>
    <row r="236" spans="1:16" x14ac:dyDescent="0.3">
      <c r="A236" t="s">
        <v>26</v>
      </c>
      <c r="B236" s="3">
        <v>46113</v>
      </c>
      <c r="C236">
        <v>181100</v>
      </c>
      <c r="D236">
        <v>113556</v>
      </c>
      <c r="E236">
        <v>9362</v>
      </c>
      <c r="F236">
        <v>24839</v>
      </c>
      <c r="G236">
        <v>14219</v>
      </c>
      <c r="H236">
        <v>10591</v>
      </c>
      <c r="I236">
        <v>3628</v>
      </c>
      <c r="J236">
        <v>4750</v>
      </c>
      <c r="K236" s="4">
        <f t="shared" si="22"/>
        <v>0.19123153106002658</v>
      </c>
      <c r="L236">
        <v>1071</v>
      </c>
      <c r="M236" s="11">
        <f t="shared" si="21"/>
        <v>0.22547368421052633</v>
      </c>
      <c r="N236">
        <v>3679</v>
      </c>
      <c r="O236" s="11">
        <f t="shared" si="23"/>
        <v>0.77452631578947373</v>
      </c>
      <c r="P236">
        <v>5870</v>
      </c>
    </row>
    <row r="237" spans="1:16" x14ac:dyDescent="0.3">
      <c r="A237" t="s">
        <v>27</v>
      </c>
      <c r="B237" s="3">
        <v>46113</v>
      </c>
      <c r="C237">
        <v>2486253</v>
      </c>
      <c r="D237">
        <v>1454970</v>
      </c>
      <c r="E237">
        <v>259652</v>
      </c>
      <c r="F237">
        <v>257986</v>
      </c>
      <c r="G237">
        <v>148079</v>
      </c>
      <c r="H237">
        <v>146970</v>
      </c>
      <c r="I237">
        <v>1109</v>
      </c>
      <c r="J237">
        <v>19731</v>
      </c>
      <c r="K237" s="4">
        <f t="shared" si="22"/>
        <v>7.6480894312094455E-2</v>
      </c>
      <c r="L237">
        <v>7904</v>
      </c>
      <c r="M237" s="11">
        <f t="shared" si="21"/>
        <v>0.40058790735391009</v>
      </c>
      <c r="N237">
        <v>11827</v>
      </c>
      <c r="O237" s="11">
        <f t="shared" si="23"/>
        <v>0.59941209264608986</v>
      </c>
      <c r="P237">
        <v>90176</v>
      </c>
    </row>
    <row r="238" spans="1:16" x14ac:dyDescent="0.3">
      <c r="A238" t="s">
        <v>28</v>
      </c>
      <c r="B238" s="3">
        <v>46113</v>
      </c>
      <c r="C238">
        <v>98607</v>
      </c>
      <c r="D238">
        <v>53363</v>
      </c>
      <c r="E238">
        <v>8179</v>
      </c>
      <c r="F238">
        <v>8497</v>
      </c>
      <c r="G238">
        <v>5111</v>
      </c>
      <c r="H238">
        <v>3143</v>
      </c>
      <c r="I238">
        <v>1968</v>
      </c>
      <c r="J238">
        <v>1699</v>
      </c>
      <c r="K238" s="4">
        <f t="shared" si="22"/>
        <v>0.19995292456160998</v>
      </c>
      <c r="L238">
        <v>469</v>
      </c>
      <c r="M238" s="11">
        <f t="shared" si="21"/>
        <v>0.27604473219540904</v>
      </c>
      <c r="N238">
        <v>1230</v>
      </c>
      <c r="O238" s="11">
        <f t="shared" si="23"/>
        <v>0.72395526780459096</v>
      </c>
      <c r="P238">
        <v>1687</v>
      </c>
    </row>
    <row r="239" spans="1:16" x14ac:dyDescent="0.3">
      <c r="A239" t="s">
        <v>29</v>
      </c>
      <c r="B239" s="3">
        <v>46113</v>
      </c>
      <c r="C239">
        <v>296519</v>
      </c>
      <c r="D239">
        <v>162734</v>
      </c>
      <c r="E239">
        <v>22776</v>
      </c>
      <c r="F239">
        <v>25145</v>
      </c>
      <c r="G239">
        <v>18470</v>
      </c>
      <c r="H239">
        <v>16302</v>
      </c>
      <c r="I239">
        <v>2168</v>
      </c>
      <c r="J239">
        <v>4121</v>
      </c>
      <c r="K239" s="4">
        <f t="shared" si="22"/>
        <v>0.16388944124080335</v>
      </c>
      <c r="L239">
        <v>2269</v>
      </c>
      <c r="M239" s="11">
        <f t="shared" si="21"/>
        <v>0.55059451589420039</v>
      </c>
      <c r="N239">
        <v>1852</v>
      </c>
      <c r="O239" s="11">
        <f t="shared" si="23"/>
        <v>0.44940548410579956</v>
      </c>
      <c r="P239">
        <v>2554</v>
      </c>
    </row>
    <row r="240" spans="1:16" x14ac:dyDescent="0.3">
      <c r="A240" t="s">
        <v>30</v>
      </c>
      <c r="B240" s="3">
        <v>46113</v>
      </c>
      <c r="C240">
        <v>152000</v>
      </c>
      <c r="D240">
        <v>85924</v>
      </c>
      <c r="E240">
        <v>11320</v>
      </c>
      <c r="F240">
        <v>11109</v>
      </c>
      <c r="G240">
        <v>7129</v>
      </c>
      <c r="H240">
        <v>3594</v>
      </c>
      <c r="I240">
        <v>3535</v>
      </c>
      <c r="J240">
        <v>3460</v>
      </c>
      <c r="K240" s="4">
        <f t="shared" si="22"/>
        <v>0.31145917724367628</v>
      </c>
      <c r="L240">
        <v>572</v>
      </c>
      <c r="M240" s="11">
        <f t="shared" si="21"/>
        <v>0.16531791907514451</v>
      </c>
      <c r="N240">
        <v>2888</v>
      </c>
      <c r="O240" s="11">
        <f t="shared" si="23"/>
        <v>0.83468208092485552</v>
      </c>
      <c r="P240">
        <v>520</v>
      </c>
    </row>
    <row r="241" spans="1:16" x14ac:dyDescent="0.3">
      <c r="A241" t="s">
        <v>31</v>
      </c>
      <c r="B241" s="3">
        <v>46113</v>
      </c>
      <c r="C241">
        <v>1491638</v>
      </c>
      <c r="D241">
        <v>944112</v>
      </c>
      <c r="E241">
        <v>153472</v>
      </c>
      <c r="F241">
        <v>143746</v>
      </c>
      <c r="G241">
        <v>64288</v>
      </c>
      <c r="H241">
        <v>49661</v>
      </c>
      <c r="I241">
        <v>14627</v>
      </c>
      <c r="J241">
        <v>10360</v>
      </c>
      <c r="K241" s="4">
        <f t="shared" si="22"/>
        <v>7.2071570687184339E-2</v>
      </c>
      <c r="L241">
        <v>4199</v>
      </c>
      <c r="M241" s="11">
        <f t="shared" si="21"/>
        <v>0.40530888030888029</v>
      </c>
      <c r="N241">
        <v>6161</v>
      </c>
      <c r="O241" s="11">
        <f t="shared" si="23"/>
        <v>0.59469111969111965</v>
      </c>
      <c r="P241">
        <v>69098</v>
      </c>
    </row>
    <row r="242" spans="1:16" x14ac:dyDescent="0.3">
      <c r="A242" t="s">
        <v>32</v>
      </c>
      <c r="B242" s="3">
        <v>46113</v>
      </c>
      <c r="C242">
        <v>636907</v>
      </c>
      <c r="D242">
        <v>372719</v>
      </c>
      <c r="E242">
        <v>57868</v>
      </c>
      <c r="F242">
        <v>38907</v>
      </c>
      <c r="G242">
        <v>28653</v>
      </c>
      <c r="H242">
        <v>19894</v>
      </c>
      <c r="I242">
        <v>8759</v>
      </c>
      <c r="J242">
        <v>9553</v>
      </c>
      <c r="K242" s="4">
        <f t="shared" si="22"/>
        <v>0.24553422263345928</v>
      </c>
      <c r="L242">
        <v>1244</v>
      </c>
      <c r="M242" s="11">
        <f t="shared" si="21"/>
        <v>0.13022087302418089</v>
      </c>
      <c r="N242">
        <v>8309</v>
      </c>
      <c r="O242" s="11">
        <f t="shared" si="23"/>
        <v>0.86977912697581916</v>
      </c>
      <c r="P242">
        <v>701</v>
      </c>
    </row>
    <row r="243" spans="1:16" x14ac:dyDescent="0.3">
      <c r="A243" t="s">
        <v>33</v>
      </c>
      <c r="B243" s="3">
        <v>46113</v>
      </c>
      <c r="C243">
        <v>675955</v>
      </c>
      <c r="D243">
        <v>409258</v>
      </c>
      <c r="E243">
        <v>60082</v>
      </c>
      <c r="F243">
        <v>73870</v>
      </c>
      <c r="G243">
        <v>61358</v>
      </c>
      <c r="H243">
        <v>57556</v>
      </c>
      <c r="I243">
        <v>3802</v>
      </c>
      <c r="J243">
        <v>11088</v>
      </c>
      <c r="K243" s="4">
        <f t="shared" si="22"/>
        <v>0.15010152971436308</v>
      </c>
      <c r="L243">
        <v>1801</v>
      </c>
      <c r="M243" s="11">
        <f t="shared" si="21"/>
        <v>0.16242784992784992</v>
      </c>
      <c r="N243">
        <v>9287</v>
      </c>
      <c r="O243" s="11">
        <f t="shared" si="23"/>
        <v>0.83757215007215002</v>
      </c>
      <c r="P243">
        <v>1424</v>
      </c>
    </row>
    <row r="244" spans="1:16" x14ac:dyDescent="0.3">
      <c r="A244" t="s">
        <v>34</v>
      </c>
      <c r="B244" s="3">
        <v>46113</v>
      </c>
      <c r="C244">
        <v>5752512</v>
      </c>
      <c r="D244">
        <v>3973488</v>
      </c>
      <c r="E244">
        <v>364255</v>
      </c>
      <c r="F244">
        <v>378980</v>
      </c>
      <c r="G244">
        <v>276446</v>
      </c>
      <c r="H244">
        <v>100484</v>
      </c>
      <c r="I244">
        <v>175962</v>
      </c>
      <c r="J244">
        <v>95903</v>
      </c>
      <c r="K244" s="4">
        <f t="shared" si="22"/>
        <v>0.25305557021478708</v>
      </c>
      <c r="L244">
        <v>38422</v>
      </c>
      <c r="M244" s="11">
        <f t="shared" si="21"/>
        <v>0.40063397391113936</v>
      </c>
      <c r="N244">
        <v>57481</v>
      </c>
      <c r="O244" s="11">
        <f t="shared" si="23"/>
        <v>0.59936602608886058</v>
      </c>
      <c r="P244">
        <v>6631</v>
      </c>
    </row>
    <row r="245" spans="1:16" x14ac:dyDescent="0.3">
      <c r="A245" t="s">
        <v>35</v>
      </c>
      <c r="B245" s="3">
        <v>46113</v>
      </c>
      <c r="C245">
        <v>2400994</v>
      </c>
      <c r="D245">
        <v>1504099</v>
      </c>
      <c r="E245">
        <v>224649</v>
      </c>
      <c r="F245">
        <v>217059</v>
      </c>
      <c r="G245">
        <v>144204</v>
      </c>
      <c r="H245">
        <v>109330</v>
      </c>
      <c r="I245">
        <v>34874</v>
      </c>
      <c r="J245">
        <v>44960</v>
      </c>
      <c r="K245" s="4">
        <f t="shared" si="22"/>
        <v>0.20713262292740683</v>
      </c>
      <c r="L245">
        <v>4458</v>
      </c>
      <c r="M245" s="11">
        <f t="shared" si="21"/>
        <v>9.9154804270462638E-2</v>
      </c>
      <c r="N245">
        <v>40502</v>
      </c>
      <c r="O245" s="11">
        <f t="shared" si="23"/>
        <v>0.90084519572953736</v>
      </c>
      <c r="P245">
        <v>27895</v>
      </c>
    </row>
    <row r="246" spans="1:16" x14ac:dyDescent="0.3">
      <c r="A246" t="s">
        <v>36</v>
      </c>
      <c r="B246" s="3">
        <v>46113</v>
      </c>
      <c r="C246">
        <v>898649</v>
      </c>
      <c r="D246">
        <v>477029</v>
      </c>
      <c r="E246">
        <v>70177</v>
      </c>
      <c r="F246">
        <v>66004</v>
      </c>
      <c r="G246">
        <v>41169</v>
      </c>
      <c r="H246">
        <v>31315</v>
      </c>
      <c r="I246">
        <v>9854</v>
      </c>
      <c r="J246">
        <v>22129</v>
      </c>
      <c r="K246" s="4">
        <f t="shared" si="22"/>
        <v>0.33526755954184595</v>
      </c>
      <c r="L246">
        <v>5376</v>
      </c>
      <c r="M246" s="11">
        <f t="shared" si="21"/>
        <v>0.24293912964887704</v>
      </c>
      <c r="N246">
        <v>16753</v>
      </c>
      <c r="O246" s="11">
        <f t="shared" si="23"/>
        <v>0.75706087035112291</v>
      </c>
      <c r="P246">
        <v>2706</v>
      </c>
    </row>
    <row r="247" spans="1:16" x14ac:dyDescent="0.3">
      <c r="A247" t="s">
        <v>37</v>
      </c>
      <c r="B247" s="3">
        <v>46113</v>
      </c>
      <c r="C247">
        <v>1094915</v>
      </c>
      <c r="D247">
        <v>807667</v>
      </c>
      <c r="E247">
        <v>69821</v>
      </c>
      <c r="F247">
        <v>72794</v>
      </c>
      <c r="G247">
        <v>59580</v>
      </c>
      <c r="H247">
        <v>50441</v>
      </c>
      <c r="I247">
        <v>9139</v>
      </c>
      <c r="J247">
        <v>13042</v>
      </c>
      <c r="K247" s="4">
        <f t="shared" si="22"/>
        <v>0.17916311783938238</v>
      </c>
      <c r="L247">
        <v>3319</v>
      </c>
      <c r="M247" s="11">
        <f t="shared" si="21"/>
        <v>0.25448550835761385</v>
      </c>
      <c r="N247">
        <v>9723</v>
      </c>
      <c r="O247" s="11">
        <f t="shared" si="23"/>
        <v>0.74551449164238615</v>
      </c>
      <c r="P247">
        <v>172</v>
      </c>
    </row>
    <row r="248" spans="1:16" x14ac:dyDescent="0.3">
      <c r="A248" t="s">
        <v>38</v>
      </c>
      <c r="B248" s="3">
        <v>46113</v>
      </c>
      <c r="C248">
        <v>2701242</v>
      </c>
      <c r="D248">
        <v>1577907</v>
      </c>
      <c r="E248">
        <v>200071</v>
      </c>
      <c r="F248">
        <v>214310</v>
      </c>
      <c r="G248">
        <v>123665</v>
      </c>
      <c r="H248">
        <v>41547</v>
      </c>
      <c r="I248">
        <v>82118</v>
      </c>
      <c r="J248">
        <v>30128</v>
      </c>
      <c r="K248" s="4">
        <f t="shared" si="22"/>
        <v>0.14058140077457887</v>
      </c>
      <c r="L248">
        <v>17013</v>
      </c>
      <c r="M248" s="11">
        <f t="shared" si="21"/>
        <v>0.56469065321295808</v>
      </c>
      <c r="N248">
        <v>13115</v>
      </c>
      <c r="O248" s="11">
        <f t="shared" si="23"/>
        <v>0.43530934678704197</v>
      </c>
      <c r="P248">
        <v>60517</v>
      </c>
    </row>
    <row r="249" spans="1:16" x14ac:dyDescent="0.3">
      <c r="A249" t="s">
        <v>39</v>
      </c>
      <c r="B249" s="3">
        <v>46113</v>
      </c>
      <c r="C249">
        <v>256569</v>
      </c>
      <c r="D249">
        <v>173837</v>
      </c>
      <c r="E249">
        <v>21349</v>
      </c>
      <c r="F249">
        <v>24239</v>
      </c>
      <c r="G249">
        <v>19756</v>
      </c>
      <c r="H249">
        <v>17672</v>
      </c>
      <c r="I249">
        <v>2084</v>
      </c>
      <c r="J249">
        <v>4387</v>
      </c>
      <c r="K249" s="4">
        <f t="shared" si="22"/>
        <v>0.18098931474070712</v>
      </c>
      <c r="L249">
        <v>1608</v>
      </c>
      <c r="M249" s="11">
        <f t="shared" si="21"/>
        <v>0.36653749715067246</v>
      </c>
      <c r="N249">
        <v>2779</v>
      </c>
      <c r="O249" s="11">
        <f t="shared" si="23"/>
        <v>0.63346250284932759</v>
      </c>
      <c r="P249">
        <v>96</v>
      </c>
    </row>
    <row r="250" spans="1:16" x14ac:dyDescent="0.3">
      <c r="A250" t="s">
        <v>40</v>
      </c>
      <c r="B250" s="3">
        <v>46113</v>
      </c>
      <c r="C250">
        <v>850016</v>
      </c>
      <c r="D250">
        <v>365142</v>
      </c>
      <c r="E250">
        <v>78480</v>
      </c>
      <c r="F250">
        <v>85471</v>
      </c>
      <c r="G250">
        <v>64961</v>
      </c>
      <c r="H250">
        <v>60703</v>
      </c>
      <c r="I250">
        <v>4258</v>
      </c>
      <c r="J250">
        <v>18940</v>
      </c>
      <c r="K250" s="4">
        <f t="shared" si="22"/>
        <v>0.22159562892677048</v>
      </c>
      <c r="L250">
        <v>16308</v>
      </c>
      <c r="M250" s="11">
        <f t="shared" si="21"/>
        <v>0.86103484688489973</v>
      </c>
      <c r="N250">
        <v>2632</v>
      </c>
      <c r="O250" s="11">
        <f t="shared" si="23"/>
        <v>0.13896515311510033</v>
      </c>
      <c r="P250">
        <v>1570</v>
      </c>
    </row>
    <row r="251" spans="1:16" x14ac:dyDescent="0.3">
      <c r="A251" t="s">
        <v>41</v>
      </c>
      <c r="B251" s="3">
        <v>46113</v>
      </c>
      <c r="C251">
        <v>124467</v>
      </c>
      <c r="D251">
        <v>62522</v>
      </c>
      <c r="E251">
        <v>13374</v>
      </c>
      <c r="F251">
        <v>12726</v>
      </c>
      <c r="G251">
        <v>10126</v>
      </c>
      <c r="H251">
        <v>7212</v>
      </c>
      <c r="I251">
        <v>2914</v>
      </c>
      <c r="J251">
        <v>2429</v>
      </c>
      <c r="K251" s="4">
        <f t="shared" si="22"/>
        <v>0.19086908690869087</v>
      </c>
      <c r="L251">
        <v>376</v>
      </c>
      <c r="M251" s="11">
        <f t="shared" si="21"/>
        <v>0.15479621243310004</v>
      </c>
      <c r="N251">
        <v>2053</v>
      </c>
      <c r="O251" s="11">
        <f t="shared" si="23"/>
        <v>0.84520378756689996</v>
      </c>
      <c r="P251">
        <v>171</v>
      </c>
    </row>
    <row r="252" spans="1:16" x14ac:dyDescent="0.3">
      <c r="A252" t="s">
        <v>42</v>
      </c>
      <c r="B252" s="3">
        <v>46113</v>
      </c>
      <c r="C252">
        <v>1207988</v>
      </c>
      <c r="D252">
        <v>567060</v>
      </c>
      <c r="E252">
        <v>92379</v>
      </c>
      <c r="F252">
        <v>91148</v>
      </c>
      <c r="G252">
        <v>81196</v>
      </c>
      <c r="H252">
        <v>62449</v>
      </c>
      <c r="I252">
        <v>18747</v>
      </c>
      <c r="J252">
        <v>9739</v>
      </c>
      <c r="K252" s="4">
        <f t="shared" si="22"/>
        <v>0.1068482029227191</v>
      </c>
      <c r="L252">
        <v>3169</v>
      </c>
      <c r="M252" s="11">
        <f t="shared" si="21"/>
        <v>0.32539275079576957</v>
      </c>
      <c r="N252">
        <v>6570</v>
      </c>
      <c r="O252" s="11">
        <f t="shared" si="23"/>
        <v>0.67460724920423043</v>
      </c>
      <c r="P252">
        <v>213</v>
      </c>
    </row>
    <row r="253" spans="1:16" x14ac:dyDescent="0.3">
      <c r="A253" t="s">
        <v>43</v>
      </c>
      <c r="B253" s="3">
        <v>46113</v>
      </c>
      <c r="C253">
        <v>3643702</v>
      </c>
      <c r="D253">
        <v>959933</v>
      </c>
      <c r="E253">
        <v>304303</v>
      </c>
      <c r="F253">
        <v>272595</v>
      </c>
      <c r="G253">
        <v>168231</v>
      </c>
      <c r="H253">
        <v>23741</v>
      </c>
      <c r="I253">
        <v>144490</v>
      </c>
      <c r="J253">
        <v>87825</v>
      </c>
      <c r="K253" s="4">
        <f t="shared" si="22"/>
        <v>0.32218125791008639</v>
      </c>
      <c r="L253">
        <v>28180</v>
      </c>
      <c r="M253" s="11">
        <f t="shared" si="21"/>
        <v>0.32086535724452037</v>
      </c>
      <c r="N253">
        <v>59645</v>
      </c>
      <c r="O253" s="11">
        <f t="shared" si="23"/>
        <v>0.67913464275547963</v>
      </c>
      <c r="P253">
        <v>16539</v>
      </c>
    </row>
    <row r="254" spans="1:16" x14ac:dyDescent="0.3">
      <c r="A254" t="s">
        <v>44</v>
      </c>
      <c r="B254" s="3">
        <v>46113</v>
      </c>
      <c r="C254">
        <v>290143</v>
      </c>
      <c r="D254">
        <v>162666</v>
      </c>
      <c r="E254">
        <v>23805</v>
      </c>
      <c r="F254">
        <v>29893</v>
      </c>
      <c r="G254">
        <v>15856</v>
      </c>
      <c r="H254">
        <v>5035</v>
      </c>
      <c r="I254">
        <v>10821</v>
      </c>
      <c r="J254">
        <v>8480</v>
      </c>
      <c r="K254" s="4">
        <f t="shared" si="22"/>
        <v>0.2836784531495668</v>
      </c>
      <c r="L254">
        <v>997</v>
      </c>
      <c r="M254" s="11">
        <f t="shared" si="21"/>
        <v>0.11757075471698113</v>
      </c>
      <c r="N254">
        <v>7483</v>
      </c>
      <c r="O254" s="11">
        <f t="shared" si="23"/>
        <v>0.88242924528301891</v>
      </c>
      <c r="P254">
        <v>5557</v>
      </c>
    </row>
    <row r="255" spans="1:16" x14ac:dyDescent="0.3">
      <c r="A255" t="s">
        <v>45</v>
      </c>
      <c r="B255" s="3">
        <v>46113</v>
      </c>
      <c r="C255">
        <v>1463881</v>
      </c>
      <c r="D255">
        <v>863486</v>
      </c>
      <c r="E255">
        <v>114317</v>
      </c>
      <c r="F255">
        <v>141430</v>
      </c>
      <c r="G255">
        <v>125091</v>
      </c>
      <c r="H255">
        <v>69515</v>
      </c>
      <c r="I255">
        <v>55576</v>
      </c>
      <c r="J255">
        <v>13659</v>
      </c>
      <c r="K255" s="4">
        <f t="shared" si="22"/>
        <v>9.6577812345329847E-2</v>
      </c>
      <c r="L255">
        <v>2597</v>
      </c>
      <c r="M255" s="11">
        <f t="shared" si="21"/>
        <v>0.19013104912511897</v>
      </c>
      <c r="N255">
        <v>11062</v>
      </c>
      <c r="O255" s="11">
        <f t="shared" si="23"/>
        <v>0.80986895087488098</v>
      </c>
      <c r="P255">
        <v>2680</v>
      </c>
    </row>
    <row r="256" spans="1:16" x14ac:dyDescent="0.3">
      <c r="A256" t="s">
        <v>46</v>
      </c>
      <c r="B256" s="3">
        <v>46113</v>
      </c>
      <c r="C256">
        <v>142134</v>
      </c>
      <c r="D256">
        <v>90938</v>
      </c>
      <c r="E256">
        <v>10437</v>
      </c>
      <c r="F256">
        <v>14821</v>
      </c>
      <c r="G256">
        <v>11424</v>
      </c>
      <c r="H256">
        <v>9648</v>
      </c>
      <c r="I256">
        <v>1776</v>
      </c>
      <c r="J256">
        <v>2311</v>
      </c>
      <c r="K256" s="4">
        <f t="shared" si="22"/>
        <v>0.15592740031037042</v>
      </c>
      <c r="L256">
        <v>347</v>
      </c>
      <c r="M256" s="11">
        <f t="shared" si="21"/>
        <v>0.15015144958892254</v>
      </c>
      <c r="N256">
        <v>1964</v>
      </c>
      <c r="O256" s="11">
        <f t="shared" si="23"/>
        <v>0.84984855041107743</v>
      </c>
      <c r="P256">
        <v>1086</v>
      </c>
    </row>
    <row r="257" spans="1:16" x14ac:dyDescent="0.3">
      <c r="A257" t="s">
        <v>47</v>
      </c>
      <c r="B257" s="3">
        <v>46113</v>
      </c>
      <c r="C257">
        <v>1727218</v>
      </c>
      <c r="D257">
        <v>974264</v>
      </c>
      <c r="E257">
        <v>142254</v>
      </c>
      <c r="F257">
        <v>111303</v>
      </c>
      <c r="G257">
        <v>98046</v>
      </c>
      <c r="H257">
        <v>90326</v>
      </c>
      <c r="I257">
        <v>7720</v>
      </c>
      <c r="J257">
        <v>12563</v>
      </c>
      <c r="K257" s="4">
        <f t="shared" si="22"/>
        <v>0.11287206993522188</v>
      </c>
      <c r="L257">
        <v>2129</v>
      </c>
      <c r="M257" s="11">
        <f t="shared" si="21"/>
        <v>0.1694658919047998</v>
      </c>
      <c r="N257">
        <v>10434</v>
      </c>
      <c r="O257" s="11">
        <f t="shared" si="23"/>
        <v>0.83053410809520023</v>
      </c>
      <c r="P257">
        <v>694</v>
      </c>
    </row>
    <row r="258" spans="1:16" x14ac:dyDescent="0.3">
      <c r="A258" t="s">
        <v>48</v>
      </c>
      <c r="B258" s="3">
        <v>46113</v>
      </c>
      <c r="C258">
        <v>1017266</v>
      </c>
      <c r="D258">
        <v>581917</v>
      </c>
      <c r="E258">
        <v>76660</v>
      </c>
      <c r="F258">
        <v>81603</v>
      </c>
      <c r="G258">
        <v>56851</v>
      </c>
      <c r="H258">
        <v>35566</v>
      </c>
      <c r="I258">
        <v>21285</v>
      </c>
      <c r="J258">
        <v>18571</v>
      </c>
      <c r="K258" s="4">
        <f t="shared" si="22"/>
        <v>0.22757741749690574</v>
      </c>
      <c r="L258">
        <v>8138</v>
      </c>
      <c r="M258" s="11">
        <f t="shared" si="21"/>
        <v>0.43821011254105863</v>
      </c>
      <c r="N258">
        <v>10433</v>
      </c>
      <c r="O258" s="11">
        <f t="shared" si="23"/>
        <v>0.56178988745894132</v>
      </c>
      <c r="P258">
        <v>6181</v>
      </c>
    </row>
    <row r="259" spans="1:16" x14ac:dyDescent="0.3">
      <c r="A259" t="s">
        <v>49</v>
      </c>
      <c r="B259" s="3">
        <v>46113</v>
      </c>
      <c r="C259">
        <v>448422</v>
      </c>
      <c r="D259">
        <v>294643</v>
      </c>
      <c r="E259">
        <v>28388</v>
      </c>
      <c r="F259">
        <v>28476</v>
      </c>
      <c r="G259">
        <v>22906</v>
      </c>
      <c r="H259">
        <v>16790</v>
      </c>
      <c r="I259">
        <v>6116</v>
      </c>
      <c r="J259">
        <v>5321</v>
      </c>
      <c r="K259" s="4">
        <f t="shared" si="22"/>
        <v>0.18685910942548112</v>
      </c>
      <c r="L259">
        <v>1170</v>
      </c>
      <c r="M259" s="11">
        <f t="shared" si="21"/>
        <v>0.21988348054876902</v>
      </c>
      <c r="N259">
        <v>4151</v>
      </c>
      <c r="O259" s="11">
        <f t="shared" si="23"/>
        <v>0.78011651945123095</v>
      </c>
      <c r="P259">
        <v>249</v>
      </c>
    </row>
    <row r="260" spans="1:16" x14ac:dyDescent="0.3">
      <c r="A260" t="s">
        <v>50</v>
      </c>
      <c r="B260" s="3">
        <v>46113</v>
      </c>
      <c r="C260">
        <v>54202</v>
      </c>
      <c r="D260">
        <v>19432</v>
      </c>
      <c r="E260">
        <v>3675</v>
      </c>
      <c r="F260">
        <v>5013</v>
      </c>
      <c r="G260">
        <v>3224</v>
      </c>
      <c r="H260">
        <v>2029</v>
      </c>
      <c r="I260">
        <v>1195</v>
      </c>
      <c r="J260">
        <v>1279</v>
      </c>
      <c r="K260" s="4">
        <f t="shared" si="22"/>
        <v>0.25513664472371833</v>
      </c>
      <c r="L260">
        <v>345</v>
      </c>
      <c r="M260" s="11">
        <f t="shared" si="21"/>
        <v>0.26974198592650506</v>
      </c>
      <c r="N260">
        <v>934</v>
      </c>
      <c r="O260" s="11">
        <f>N260/J260</f>
        <v>0.73025801407349489</v>
      </c>
      <c r="P260">
        <v>510</v>
      </c>
    </row>
    <row r="261" spans="1:16" s="1" customFormat="1" x14ac:dyDescent="0.3">
      <c r="A261" s="1" t="s">
        <v>63</v>
      </c>
      <c r="B261" s="8">
        <v>46113</v>
      </c>
      <c r="C261" s="1">
        <f t="shared" ref="C261:J261" si="24">SUM(C210:C260)</f>
        <v>66725217</v>
      </c>
      <c r="D261" s="1">
        <f t="shared" si="24"/>
        <v>38489574</v>
      </c>
      <c r="E261" s="1">
        <f t="shared" si="24"/>
        <v>5451600</v>
      </c>
      <c r="F261" s="1">
        <f t="shared" si="24"/>
        <v>5828803</v>
      </c>
      <c r="G261" s="1">
        <f t="shared" si="24"/>
        <v>3990308</v>
      </c>
      <c r="H261" s="1">
        <f t="shared" si="24"/>
        <v>2715704</v>
      </c>
      <c r="I261" s="1">
        <f t="shared" si="24"/>
        <v>1274604</v>
      </c>
      <c r="J261" s="1">
        <f t="shared" si="24"/>
        <v>1142873</v>
      </c>
      <c r="K261" s="9">
        <f>J261/F261</f>
        <v>0.19607336188922495</v>
      </c>
      <c r="L261" s="1">
        <f>SUM(L210:L260)</f>
        <v>297119</v>
      </c>
      <c r="M261" s="9">
        <f>L261/J261</f>
        <v>0.25997551783968997</v>
      </c>
      <c r="N261" s="1">
        <f>SUM(N210:N260)</f>
        <v>845754</v>
      </c>
      <c r="O261" s="13">
        <f>N261/J261</f>
        <v>0.74002448216031003</v>
      </c>
      <c r="P261" s="1">
        <f>SUM(P210:P260)</f>
        <v>695622</v>
      </c>
    </row>
    <row r="262" spans="1:16" x14ac:dyDescent="0.3">
      <c r="A262" t="s">
        <v>0</v>
      </c>
      <c r="B262" s="3">
        <v>46143</v>
      </c>
      <c r="C262">
        <v>194972</v>
      </c>
      <c r="D262">
        <v>123663</v>
      </c>
      <c r="E262">
        <v>13727</v>
      </c>
      <c r="F262">
        <v>30712</v>
      </c>
      <c r="G262">
        <v>8417</v>
      </c>
      <c r="H262">
        <v>5505</v>
      </c>
      <c r="I262">
        <v>2912</v>
      </c>
      <c r="J262">
        <v>11950</v>
      </c>
      <c r="K262" s="11">
        <f t="shared" ref="K262:K325" si="25">J262/F262</f>
        <v>0.38909872362594428</v>
      </c>
      <c r="L262">
        <v>2325</v>
      </c>
      <c r="M262" s="11">
        <f t="shared" ref="M262:M312" si="26">L262/J262</f>
        <v>0.19456066945606695</v>
      </c>
      <c r="N262">
        <v>9625</v>
      </c>
      <c r="O262" s="14">
        <f t="shared" ref="O262:O312" si="27">N262/J262</f>
        <v>0.80543933054393302</v>
      </c>
      <c r="P262">
        <v>10345</v>
      </c>
    </row>
    <row r="263" spans="1:16" x14ac:dyDescent="0.3">
      <c r="A263" t="s">
        <v>1</v>
      </c>
      <c r="B263" s="3">
        <v>46143</v>
      </c>
      <c r="C263">
        <v>734652</v>
      </c>
      <c r="D263">
        <v>263555</v>
      </c>
      <c r="E263">
        <v>111567</v>
      </c>
      <c r="F263">
        <v>101259</v>
      </c>
      <c r="G263">
        <v>69552</v>
      </c>
      <c r="H263">
        <v>36867</v>
      </c>
      <c r="I263">
        <v>32685</v>
      </c>
      <c r="J263">
        <v>29814</v>
      </c>
      <c r="K263" s="11">
        <f t="shared" si="25"/>
        <v>0.29443308742926555</v>
      </c>
      <c r="L263">
        <v>12445</v>
      </c>
      <c r="M263" s="11">
        <f t="shared" si="26"/>
        <v>0.41742134567652783</v>
      </c>
      <c r="N263">
        <v>17369</v>
      </c>
      <c r="O263" s="14">
        <f t="shared" si="27"/>
        <v>0.58257865432347222</v>
      </c>
      <c r="P263">
        <v>1893</v>
      </c>
    </row>
    <row r="264" spans="1:16" x14ac:dyDescent="0.3">
      <c r="A264" t="s">
        <v>2</v>
      </c>
      <c r="B264" s="3">
        <v>46143</v>
      </c>
      <c r="C264">
        <v>709201</v>
      </c>
      <c r="D264">
        <v>388760</v>
      </c>
      <c r="E264">
        <v>51419</v>
      </c>
      <c r="F264">
        <v>53416</v>
      </c>
      <c r="G264">
        <v>43884</v>
      </c>
      <c r="H264">
        <v>38053</v>
      </c>
      <c r="I264">
        <v>5831</v>
      </c>
      <c r="J264">
        <v>9284</v>
      </c>
      <c r="K264" s="11">
        <f t="shared" si="25"/>
        <v>0.17380560131795716</v>
      </c>
      <c r="L264">
        <v>2341</v>
      </c>
      <c r="M264" s="11">
        <f t="shared" si="26"/>
        <v>0.25215424386040503</v>
      </c>
      <c r="N264">
        <v>6943</v>
      </c>
      <c r="O264" s="14">
        <f t="shared" si="27"/>
        <v>0.74784575613959503</v>
      </c>
      <c r="P264">
        <v>248</v>
      </c>
    </row>
    <row r="265" spans="1:16" x14ac:dyDescent="0.3">
      <c r="A265" t="s">
        <v>3</v>
      </c>
      <c r="B265" s="3">
        <v>46143</v>
      </c>
      <c r="C265">
        <v>1511158</v>
      </c>
      <c r="D265">
        <v>913741</v>
      </c>
      <c r="E265">
        <v>192518</v>
      </c>
      <c r="F265">
        <v>181665</v>
      </c>
      <c r="G265">
        <v>147993</v>
      </c>
      <c r="H265">
        <v>133459</v>
      </c>
      <c r="I265">
        <v>14534</v>
      </c>
      <c r="J265">
        <v>26653</v>
      </c>
      <c r="K265" s="11">
        <f t="shared" si="25"/>
        <v>0.14671510747805025</v>
      </c>
      <c r="L265">
        <v>12984</v>
      </c>
      <c r="M265" s="11">
        <f t="shared" si="26"/>
        <v>0.48714966420290401</v>
      </c>
      <c r="N265">
        <v>13669</v>
      </c>
      <c r="O265" s="14">
        <f t="shared" si="27"/>
        <v>0.51285033579709605</v>
      </c>
      <c r="P265">
        <v>7019</v>
      </c>
    </row>
    <row r="266" spans="1:16" x14ac:dyDescent="0.3">
      <c r="A266" t="s">
        <v>4</v>
      </c>
      <c r="B266" s="3">
        <v>46143</v>
      </c>
      <c r="C266">
        <v>10505919</v>
      </c>
      <c r="D266">
        <v>7286814</v>
      </c>
      <c r="E266">
        <v>898722</v>
      </c>
      <c r="F266">
        <v>995076</v>
      </c>
      <c r="G266">
        <v>569631</v>
      </c>
      <c r="H266">
        <v>424754</v>
      </c>
      <c r="I266">
        <v>144877</v>
      </c>
      <c r="J266">
        <v>203689</v>
      </c>
      <c r="K266" s="11">
        <f t="shared" si="25"/>
        <v>0.20469692767185621</v>
      </c>
      <c r="L266">
        <v>18255</v>
      </c>
      <c r="M266" s="11">
        <f t="shared" si="26"/>
        <v>8.962192361885031E-2</v>
      </c>
      <c r="N266">
        <v>185434</v>
      </c>
      <c r="O266" s="14">
        <f t="shared" si="27"/>
        <v>0.91037807638114965</v>
      </c>
      <c r="P266">
        <v>221756</v>
      </c>
    </row>
    <row r="267" spans="1:16" x14ac:dyDescent="0.3">
      <c r="A267" t="s">
        <v>5</v>
      </c>
      <c r="B267" s="3">
        <v>46143</v>
      </c>
      <c r="C267">
        <v>1050242</v>
      </c>
      <c r="D267">
        <v>662459</v>
      </c>
      <c r="E267">
        <v>90034</v>
      </c>
      <c r="F267">
        <v>78955</v>
      </c>
      <c r="G267">
        <v>64579</v>
      </c>
      <c r="H267">
        <v>48000</v>
      </c>
      <c r="I267">
        <v>16579</v>
      </c>
      <c r="J267">
        <v>12562</v>
      </c>
      <c r="K267" s="11">
        <f t="shared" si="25"/>
        <v>0.15910328668228738</v>
      </c>
      <c r="L267">
        <v>5389</v>
      </c>
      <c r="M267" s="11">
        <f t="shared" si="26"/>
        <v>0.42899219869447541</v>
      </c>
      <c r="N267">
        <v>7173</v>
      </c>
      <c r="O267" s="14">
        <f t="shared" si="27"/>
        <v>0.57100780130552464</v>
      </c>
      <c r="P267">
        <v>1814</v>
      </c>
    </row>
    <row r="268" spans="1:16" x14ac:dyDescent="0.3">
      <c r="A268" t="s">
        <v>6</v>
      </c>
      <c r="B268" s="3">
        <v>46143</v>
      </c>
      <c r="C268">
        <v>871818</v>
      </c>
      <c r="D268">
        <v>534866</v>
      </c>
      <c r="E268">
        <v>83450</v>
      </c>
      <c r="F268">
        <v>87434</v>
      </c>
      <c r="G268">
        <v>75965</v>
      </c>
      <c r="H268">
        <v>71906</v>
      </c>
      <c r="I268">
        <v>4059</v>
      </c>
      <c r="J268">
        <v>7801</v>
      </c>
      <c r="K268" s="11">
        <f t="shared" si="25"/>
        <v>8.9221584280714597E-2</v>
      </c>
      <c r="L268">
        <v>4211</v>
      </c>
      <c r="M268" s="11">
        <f t="shared" si="26"/>
        <v>0.53980258941161385</v>
      </c>
      <c r="N268">
        <v>3590</v>
      </c>
      <c r="O268" s="14">
        <f t="shared" si="27"/>
        <v>0.46019741058838609</v>
      </c>
      <c r="P268">
        <v>3668</v>
      </c>
    </row>
    <row r="269" spans="1:16" x14ac:dyDescent="0.3">
      <c r="A269" t="s">
        <v>7</v>
      </c>
      <c r="B269" s="3">
        <v>46143</v>
      </c>
      <c r="C269">
        <v>222385</v>
      </c>
      <c r="D269">
        <v>145523</v>
      </c>
      <c r="E269">
        <v>16824</v>
      </c>
      <c r="F269">
        <v>13652</v>
      </c>
      <c r="G269">
        <v>11013</v>
      </c>
      <c r="H269">
        <v>10526</v>
      </c>
      <c r="I269">
        <v>487</v>
      </c>
      <c r="J269">
        <v>1569</v>
      </c>
      <c r="K269" s="11">
        <f t="shared" si="25"/>
        <v>0.11492821564605918</v>
      </c>
      <c r="L269">
        <v>94</v>
      </c>
      <c r="M269" s="11">
        <f t="shared" si="26"/>
        <v>5.991077119184194E-2</v>
      </c>
      <c r="N269">
        <v>1475</v>
      </c>
      <c r="O269" s="14">
        <f t="shared" si="27"/>
        <v>0.94008922880815804</v>
      </c>
      <c r="P269">
        <v>1070</v>
      </c>
    </row>
    <row r="270" spans="1:16" x14ac:dyDescent="0.3">
      <c r="A270" t="s">
        <v>8</v>
      </c>
      <c r="B270" s="3">
        <v>46143</v>
      </c>
      <c r="C270">
        <v>221563</v>
      </c>
      <c r="D270">
        <v>131169</v>
      </c>
      <c r="E270">
        <v>15157</v>
      </c>
      <c r="F270">
        <v>16265</v>
      </c>
      <c r="G270">
        <v>11547</v>
      </c>
      <c r="H270">
        <v>6914</v>
      </c>
      <c r="I270">
        <v>4633</v>
      </c>
      <c r="J270">
        <v>4339</v>
      </c>
      <c r="K270" s="11">
        <f t="shared" si="25"/>
        <v>0.26676913618198583</v>
      </c>
      <c r="L270">
        <v>1476</v>
      </c>
      <c r="M270" s="11">
        <f t="shared" si="26"/>
        <v>0.34017054620880388</v>
      </c>
      <c r="N270">
        <v>2863</v>
      </c>
      <c r="O270" s="14">
        <f t="shared" si="27"/>
        <v>0.65982945379119617</v>
      </c>
      <c r="P270">
        <v>379</v>
      </c>
    </row>
    <row r="271" spans="1:16" x14ac:dyDescent="0.3">
      <c r="A271" t="s">
        <v>9</v>
      </c>
      <c r="B271" s="3">
        <v>46143</v>
      </c>
      <c r="C271">
        <v>3406193</v>
      </c>
      <c r="D271">
        <v>1282231</v>
      </c>
      <c r="E271">
        <v>171927</v>
      </c>
      <c r="F271">
        <v>172329</v>
      </c>
      <c r="G271">
        <v>117524</v>
      </c>
      <c r="H271">
        <v>38201</v>
      </c>
      <c r="I271">
        <v>79323</v>
      </c>
      <c r="J271">
        <v>32893</v>
      </c>
      <c r="K271" s="11">
        <f t="shared" si="25"/>
        <v>0.19087327147491137</v>
      </c>
      <c r="L271">
        <v>13800</v>
      </c>
      <c r="M271" s="11">
        <f t="shared" si="26"/>
        <v>0.41954215182561638</v>
      </c>
      <c r="N271">
        <v>19093</v>
      </c>
      <c r="O271" s="14">
        <f t="shared" si="27"/>
        <v>0.58045784817438362</v>
      </c>
      <c r="P271">
        <v>21912</v>
      </c>
    </row>
    <row r="272" spans="1:16" x14ac:dyDescent="0.3">
      <c r="A272" t="s">
        <v>10</v>
      </c>
      <c r="B272" s="3">
        <v>46143</v>
      </c>
      <c r="C272">
        <v>1652000</v>
      </c>
      <c r="D272">
        <v>545456</v>
      </c>
      <c r="E272">
        <v>123972</v>
      </c>
      <c r="F272">
        <v>233202</v>
      </c>
      <c r="G272">
        <v>143793</v>
      </c>
      <c r="H272">
        <v>109209</v>
      </c>
      <c r="I272">
        <v>34584</v>
      </c>
      <c r="J272">
        <v>65721</v>
      </c>
      <c r="K272" s="11">
        <f t="shared" si="25"/>
        <v>0.28182005300126073</v>
      </c>
      <c r="L272">
        <v>26330</v>
      </c>
      <c r="M272" s="11">
        <f t="shared" si="26"/>
        <v>0.40063297880433957</v>
      </c>
      <c r="N272">
        <v>39391</v>
      </c>
      <c r="O272" s="14">
        <f t="shared" si="27"/>
        <v>0.59936702119566043</v>
      </c>
      <c r="P272">
        <v>23688</v>
      </c>
    </row>
    <row r="273" spans="1:16" x14ac:dyDescent="0.3">
      <c r="A273" t="s">
        <v>11</v>
      </c>
      <c r="B273" s="3">
        <v>46143</v>
      </c>
      <c r="C273">
        <v>365803</v>
      </c>
      <c r="D273">
        <v>236889</v>
      </c>
      <c r="E273">
        <v>36238</v>
      </c>
      <c r="F273">
        <v>38958</v>
      </c>
      <c r="G273">
        <v>33838</v>
      </c>
      <c r="H273">
        <v>27529</v>
      </c>
      <c r="I273">
        <v>6309</v>
      </c>
      <c r="J273">
        <v>4008</v>
      </c>
      <c r="K273" s="11">
        <f t="shared" si="25"/>
        <v>0.10288002464192207</v>
      </c>
      <c r="L273">
        <v>664</v>
      </c>
      <c r="M273" s="11">
        <f t="shared" si="26"/>
        <v>0.16566866267465069</v>
      </c>
      <c r="N273">
        <v>3344</v>
      </c>
      <c r="O273" s="14">
        <f t="shared" si="27"/>
        <v>0.83433133732534925</v>
      </c>
      <c r="P273">
        <v>1112</v>
      </c>
    </row>
    <row r="274" spans="1:16" x14ac:dyDescent="0.3">
      <c r="A274" t="s">
        <v>12</v>
      </c>
      <c r="B274" s="3">
        <v>46143</v>
      </c>
      <c r="C274">
        <v>591844</v>
      </c>
      <c r="D274">
        <v>342419</v>
      </c>
      <c r="E274">
        <v>55344</v>
      </c>
      <c r="F274">
        <v>47958</v>
      </c>
      <c r="G274">
        <v>38720</v>
      </c>
      <c r="H274">
        <v>27200</v>
      </c>
      <c r="I274">
        <v>11520</v>
      </c>
      <c r="J274">
        <v>6570</v>
      </c>
      <c r="K274" s="11">
        <f t="shared" si="25"/>
        <v>0.13699487051169773</v>
      </c>
      <c r="L274">
        <v>1341</v>
      </c>
      <c r="M274" s="11">
        <f t="shared" si="26"/>
        <v>0.20410958904109588</v>
      </c>
      <c r="N274">
        <v>5229</v>
      </c>
      <c r="O274" s="14">
        <f t="shared" si="27"/>
        <v>0.79589041095890412</v>
      </c>
      <c r="P274">
        <v>2668</v>
      </c>
    </row>
    <row r="275" spans="1:16" x14ac:dyDescent="0.3">
      <c r="A275" t="s">
        <v>13</v>
      </c>
      <c r="B275" s="3">
        <v>46143</v>
      </c>
      <c r="C275">
        <v>290944</v>
      </c>
      <c r="D275">
        <v>160015</v>
      </c>
      <c r="E275">
        <v>19476</v>
      </c>
      <c r="F275">
        <v>23849</v>
      </c>
      <c r="G275">
        <v>15571</v>
      </c>
      <c r="H275">
        <v>11049</v>
      </c>
      <c r="I275">
        <v>4522</v>
      </c>
      <c r="J275">
        <v>7113</v>
      </c>
      <c r="K275" s="11">
        <f t="shared" si="25"/>
        <v>0.29825149901463371</v>
      </c>
      <c r="L275">
        <v>1074</v>
      </c>
      <c r="M275" s="11">
        <f t="shared" si="26"/>
        <v>0.15099114297764657</v>
      </c>
      <c r="N275">
        <v>6039</v>
      </c>
      <c r="O275" s="14">
        <f t="shared" si="27"/>
        <v>0.8490088570223534</v>
      </c>
      <c r="P275">
        <v>1165</v>
      </c>
    </row>
    <row r="276" spans="1:16" x14ac:dyDescent="0.3">
      <c r="A276" t="s">
        <v>14</v>
      </c>
      <c r="B276" s="3">
        <v>46143</v>
      </c>
      <c r="C276">
        <v>2631007</v>
      </c>
      <c r="D276">
        <v>1611139</v>
      </c>
      <c r="E276">
        <v>250774</v>
      </c>
      <c r="F276">
        <v>206905</v>
      </c>
      <c r="G276">
        <v>161960</v>
      </c>
      <c r="H276">
        <v>135868</v>
      </c>
      <c r="I276">
        <v>26092</v>
      </c>
      <c r="J276">
        <v>23257</v>
      </c>
      <c r="K276" s="11">
        <f t="shared" si="25"/>
        <v>0.11240424349339069</v>
      </c>
      <c r="L276">
        <v>6628</v>
      </c>
      <c r="M276" s="11">
        <f t="shared" si="26"/>
        <v>0.28498946553725762</v>
      </c>
      <c r="N276">
        <v>16629</v>
      </c>
      <c r="O276" s="14">
        <f t="shared" si="27"/>
        <v>0.71501053446274243</v>
      </c>
      <c r="P276">
        <v>21688</v>
      </c>
    </row>
    <row r="277" spans="1:16" x14ac:dyDescent="0.3">
      <c r="A277" t="s">
        <v>15</v>
      </c>
      <c r="B277" s="3">
        <v>46143</v>
      </c>
      <c r="C277">
        <v>1261723</v>
      </c>
      <c r="D277">
        <v>725499</v>
      </c>
      <c r="E277">
        <v>110113</v>
      </c>
      <c r="F277">
        <v>98256</v>
      </c>
      <c r="G277">
        <v>15982</v>
      </c>
      <c r="H277">
        <v>7070</v>
      </c>
      <c r="I277">
        <v>8912</v>
      </c>
      <c r="J277">
        <v>45971</v>
      </c>
      <c r="K277" s="11">
        <f t="shared" si="25"/>
        <v>0.46786964663735547</v>
      </c>
      <c r="L277">
        <v>770</v>
      </c>
      <c r="M277" s="11">
        <f t="shared" si="26"/>
        <v>1.6749690021970371E-2</v>
      </c>
      <c r="N277">
        <v>45201</v>
      </c>
      <c r="O277" s="14">
        <f t="shared" si="27"/>
        <v>0.98325030997802965</v>
      </c>
      <c r="P277">
        <v>36303</v>
      </c>
    </row>
    <row r="278" spans="1:16" x14ac:dyDescent="0.3">
      <c r="A278" t="s">
        <v>16</v>
      </c>
      <c r="B278" s="3">
        <v>46143</v>
      </c>
      <c r="C278">
        <v>323737</v>
      </c>
      <c r="D278">
        <v>120234</v>
      </c>
      <c r="E278">
        <v>40362</v>
      </c>
      <c r="F278">
        <v>38980</v>
      </c>
      <c r="G278">
        <v>31376</v>
      </c>
      <c r="H278">
        <v>17999</v>
      </c>
      <c r="I278">
        <v>13377</v>
      </c>
      <c r="J278">
        <v>5911</v>
      </c>
      <c r="K278" s="11">
        <f t="shared" si="25"/>
        <v>0.15164186762442278</v>
      </c>
      <c r="L278">
        <v>3731</v>
      </c>
      <c r="M278" s="11">
        <f t="shared" si="26"/>
        <v>0.63119607511419384</v>
      </c>
      <c r="N278">
        <v>2180</v>
      </c>
      <c r="O278" s="14">
        <f t="shared" si="27"/>
        <v>0.3688039248858061</v>
      </c>
      <c r="P278">
        <v>1693</v>
      </c>
    </row>
    <row r="279" spans="1:16" x14ac:dyDescent="0.3">
      <c r="A279" t="s">
        <v>17</v>
      </c>
      <c r="B279" s="3">
        <v>46143</v>
      </c>
      <c r="C279">
        <v>1154915</v>
      </c>
      <c r="D279">
        <v>716210</v>
      </c>
      <c r="E279">
        <v>56235</v>
      </c>
      <c r="F279">
        <v>91933</v>
      </c>
      <c r="G279">
        <v>77737</v>
      </c>
      <c r="H279">
        <v>70076</v>
      </c>
      <c r="I279">
        <v>7661</v>
      </c>
      <c r="J279">
        <v>13750</v>
      </c>
      <c r="K279" s="11">
        <f t="shared" si="25"/>
        <v>0.14956544439972588</v>
      </c>
      <c r="L279">
        <v>3404</v>
      </c>
      <c r="M279" s="11">
        <f t="shared" si="26"/>
        <v>0.24756363636363637</v>
      </c>
      <c r="N279">
        <v>10346</v>
      </c>
      <c r="O279" s="14">
        <f t="shared" si="27"/>
        <v>0.75243636363636368</v>
      </c>
      <c r="P279">
        <v>446</v>
      </c>
    </row>
    <row r="280" spans="1:16" x14ac:dyDescent="0.3">
      <c r="A280" t="s">
        <v>18</v>
      </c>
      <c r="B280" s="3">
        <v>46143</v>
      </c>
      <c r="C280">
        <v>1146232</v>
      </c>
      <c r="D280">
        <v>636950</v>
      </c>
      <c r="E280">
        <v>96326</v>
      </c>
      <c r="F280">
        <v>111446</v>
      </c>
      <c r="G280">
        <v>65674</v>
      </c>
      <c r="H280">
        <v>46111</v>
      </c>
      <c r="I280">
        <v>19563</v>
      </c>
      <c r="J280">
        <v>28392</v>
      </c>
      <c r="K280" s="11">
        <f t="shared" si="25"/>
        <v>0.25476015289916193</v>
      </c>
      <c r="L280">
        <v>3348</v>
      </c>
      <c r="M280" s="11">
        <f t="shared" si="26"/>
        <v>0.11792054099746407</v>
      </c>
      <c r="N280">
        <v>25044</v>
      </c>
      <c r="O280" s="14">
        <f t="shared" si="27"/>
        <v>0.88207945900253593</v>
      </c>
      <c r="P280">
        <v>17380</v>
      </c>
    </row>
    <row r="281" spans="1:16" x14ac:dyDescent="0.3">
      <c r="A281" t="s">
        <v>19</v>
      </c>
      <c r="B281" s="3">
        <v>46143</v>
      </c>
      <c r="C281">
        <v>1362386</v>
      </c>
      <c r="D281">
        <v>875161</v>
      </c>
      <c r="E281">
        <v>84286</v>
      </c>
      <c r="F281">
        <v>142436</v>
      </c>
      <c r="G281">
        <v>123459</v>
      </c>
      <c r="H281">
        <v>102985</v>
      </c>
      <c r="I281">
        <v>20474</v>
      </c>
      <c r="J281">
        <v>17960</v>
      </c>
      <c r="K281" s="11">
        <f t="shared" si="25"/>
        <v>0.12609171838580135</v>
      </c>
      <c r="L281">
        <v>4376</v>
      </c>
      <c r="M281" s="11">
        <f t="shared" si="26"/>
        <v>0.24365256124721604</v>
      </c>
      <c r="N281">
        <v>13584</v>
      </c>
      <c r="O281" s="14">
        <f t="shared" si="27"/>
        <v>0.75634743875278398</v>
      </c>
      <c r="P281">
        <v>1017</v>
      </c>
    </row>
    <row r="282" spans="1:16" x14ac:dyDescent="0.3">
      <c r="A282" t="s">
        <v>20</v>
      </c>
      <c r="B282" s="3">
        <v>46143</v>
      </c>
      <c r="C282">
        <v>1178359</v>
      </c>
      <c r="D282">
        <v>712795</v>
      </c>
      <c r="E282">
        <v>101429</v>
      </c>
      <c r="F282">
        <v>87728</v>
      </c>
      <c r="G282">
        <v>61691</v>
      </c>
      <c r="H282">
        <v>46113</v>
      </c>
      <c r="I282">
        <v>15578</v>
      </c>
      <c r="J282">
        <v>23190</v>
      </c>
      <c r="K282" s="11">
        <f t="shared" si="25"/>
        <v>0.26433977749407261</v>
      </c>
      <c r="L282">
        <v>3017</v>
      </c>
      <c r="M282" s="11">
        <f t="shared" si="26"/>
        <v>0.13009918068132817</v>
      </c>
      <c r="N282">
        <v>20173</v>
      </c>
      <c r="O282" s="14">
        <f t="shared" si="27"/>
        <v>0.8699008193186718</v>
      </c>
      <c r="P282">
        <v>2847</v>
      </c>
    </row>
    <row r="283" spans="1:16" x14ac:dyDescent="0.3">
      <c r="A283" t="s">
        <v>21</v>
      </c>
      <c r="B283" s="3">
        <v>46143</v>
      </c>
      <c r="C283">
        <v>309856</v>
      </c>
      <c r="D283">
        <v>191912</v>
      </c>
      <c r="E283">
        <v>28286</v>
      </c>
      <c r="F283">
        <v>28368</v>
      </c>
      <c r="G283">
        <v>22951</v>
      </c>
      <c r="H283">
        <v>21942</v>
      </c>
      <c r="I283">
        <v>1009</v>
      </c>
      <c r="J283">
        <v>2321</v>
      </c>
      <c r="K283" s="11">
        <f t="shared" si="25"/>
        <v>8.1817540891144958E-2</v>
      </c>
      <c r="L283">
        <v>345</v>
      </c>
      <c r="M283" s="11">
        <f t="shared" si="26"/>
        <v>0.14864282636794485</v>
      </c>
      <c r="N283">
        <v>1976</v>
      </c>
      <c r="O283" s="14">
        <f t="shared" si="27"/>
        <v>0.8513571736320551</v>
      </c>
      <c r="P283">
        <v>3096</v>
      </c>
    </row>
    <row r="284" spans="1:16" x14ac:dyDescent="0.3">
      <c r="A284" t="s">
        <v>22</v>
      </c>
      <c r="B284" s="3">
        <v>46143</v>
      </c>
      <c r="C284">
        <v>1987745</v>
      </c>
      <c r="D284">
        <v>1280658</v>
      </c>
      <c r="E284">
        <v>171546</v>
      </c>
      <c r="F284">
        <v>160428</v>
      </c>
      <c r="G284">
        <v>122312</v>
      </c>
      <c r="H284">
        <v>83222</v>
      </c>
      <c r="I284">
        <v>39090</v>
      </c>
      <c r="J284">
        <v>29412</v>
      </c>
      <c r="K284" s="11">
        <f t="shared" si="25"/>
        <v>0.183334579998504</v>
      </c>
      <c r="L284">
        <v>5062</v>
      </c>
      <c r="M284" s="11">
        <f t="shared" si="26"/>
        <v>0.17210662314701483</v>
      </c>
      <c r="N284">
        <v>24350</v>
      </c>
      <c r="O284" s="14">
        <f t="shared" si="27"/>
        <v>0.82789337685298514</v>
      </c>
      <c r="P284">
        <v>8704</v>
      </c>
    </row>
    <row r="285" spans="1:16" x14ac:dyDescent="0.3">
      <c r="A285" t="s">
        <v>23</v>
      </c>
      <c r="B285" s="3">
        <v>46143</v>
      </c>
      <c r="C285">
        <v>1127908</v>
      </c>
      <c r="D285">
        <v>537556</v>
      </c>
      <c r="E285">
        <v>74460</v>
      </c>
      <c r="F285">
        <v>87793</v>
      </c>
      <c r="G285">
        <v>72090</v>
      </c>
      <c r="H285">
        <v>61277</v>
      </c>
      <c r="I285">
        <v>10813</v>
      </c>
      <c r="J285">
        <v>15703</v>
      </c>
      <c r="K285" s="11">
        <f t="shared" si="25"/>
        <v>0.17886391853564634</v>
      </c>
      <c r="L285">
        <v>2350</v>
      </c>
      <c r="M285" s="11">
        <f t="shared" si="26"/>
        <v>0.1496529325606572</v>
      </c>
      <c r="N285">
        <v>13353</v>
      </c>
      <c r="O285" s="14">
        <f t="shared" si="27"/>
        <v>0.85034706743934285</v>
      </c>
      <c r="P285">
        <v>0</v>
      </c>
    </row>
    <row r="286" spans="1:16" x14ac:dyDescent="0.3">
      <c r="A286" t="s">
        <v>24</v>
      </c>
      <c r="B286" s="3">
        <v>46143</v>
      </c>
      <c r="C286">
        <v>1109551</v>
      </c>
      <c r="D286">
        <v>678878</v>
      </c>
      <c r="E286">
        <v>89109</v>
      </c>
      <c r="F286">
        <v>98181</v>
      </c>
      <c r="G286">
        <v>63686</v>
      </c>
      <c r="H286">
        <v>57639</v>
      </c>
      <c r="I286">
        <v>6047</v>
      </c>
      <c r="J286">
        <v>17233</v>
      </c>
      <c r="K286" s="11">
        <f t="shared" si="25"/>
        <v>0.17552275898595451</v>
      </c>
      <c r="L286">
        <v>2045</v>
      </c>
      <c r="M286" s="11">
        <f t="shared" si="26"/>
        <v>0.11866767248882958</v>
      </c>
      <c r="N286">
        <v>15188</v>
      </c>
      <c r="O286" s="14">
        <f t="shared" si="27"/>
        <v>0.88133232751117041</v>
      </c>
      <c r="P286">
        <v>17262</v>
      </c>
    </row>
    <row r="287" spans="1:16" x14ac:dyDescent="0.3">
      <c r="A287" t="s">
        <v>25</v>
      </c>
      <c r="B287" s="3">
        <v>46143</v>
      </c>
      <c r="C287">
        <v>500826</v>
      </c>
      <c r="D287">
        <v>195431</v>
      </c>
      <c r="E287">
        <v>45861</v>
      </c>
      <c r="F287">
        <v>41666</v>
      </c>
      <c r="G287">
        <v>35310</v>
      </c>
      <c r="H287">
        <v>15495</v>
      </c>
      <c r="I287">
        <v>19815</v>
      </c>
      <c r="J287">
        <v>6247</v>
      </c>
      <c r="K287" s="11">
        <f t="shared" si="25"/>
        <v>0.14993039888638218</v>
      </c>
      <c r="L287">
        <v>1096</v>
      </c>
      <c r="M287" s="11">
        <f t="shared" si="26"/>
        <v>0.17544421322234674</v>
      </c>
      <c r="N287">
        <v>5151</v>
      </c>
      <c r="O287" s="14">
        <f t="shared" si="27"/>
        <v>0.82455578677765329</v>
      </c>
      <c r="P287">
        <v>109</v>
      </c>
    </row>
    <row r="288" spans="1:16" x14ac:dyDescent="0.3">
      <c r="A288" t="s">
        <v>26</v>
      </c>
      <c r="B288" s="3">
        <v>46143</v>
      </c>
      <c r="C288">
        <v>182556</v>
      </c>
      <c r="D288">
        <v>114668</v>
      </c>
      <c r="E288">
        <v>11256</v>
      </c>
      <c r="F288">
        <v>9350</v>
      </c>
      <c r="G288">
        <v>4764</v>
      </c>
      <c r="H288">
        <v>3496</v>
      </c>
      <c r="I288">
        <v>1268</v>
      </c>
      <c r="J288">
        <v>1979</v>
      </c>
      <c r="K288" s="11">
        <f t="shared" si="25"/>
        <v>0.2116577540106952</v>
      </c>
      <c r="L288">
        <v>577</v>
      </c>
      <c r="M288" s="11">
        <f t="shared" si="26"/>
        <v>0.29156139464375946</v>
      </c>
      <c r="N288">
        <v>1402</v>
      </c>
      <c r="O288" s="14">
        <f t="shared" si="27"/>
        <v>0.70843860535624048</v>
      </c>
      <c r="P288">
        <v>2607</v>
      </c>
    </row>
    <row r="289" spans="1:16" x14ac:dyDescent="0.3">
      <c r="A289" t="s">
        <v>27</v>
      </c>
      <c r="B289" s="3">
        <v>46143</v>
      </c>
      <c r="C289">
        <v>2471694</v>
      </c>
      <c r="D289">
        <v>1452575</v>
      </c>
      <c r="E289">
        <v>279757</v>
      </c>
      <c r="F289">
        <v>263542</v>
      </c>
      <c r="G289">
        <v>156037</v>
      </c>
      <c r="H289">
        <v>154951</v>
      </c>
      <c r="I289">
        <v>1086</v>
      </c>
      <c r="J289">
        <v>18306</v>
      </c>
      <c r="K289" s="11">
        <f t="shared" si="25"/>
        <v>6.9461414119950521E-2</v>
      </c>
      <c r="L289">
        <v>7157</v>
      </c>
      <c r="M289" s="11">
        <f t="shared" si="26"/>
        <v>0.39096471102370806</v>
      </c>
      <c r="N289">
        <v>11149</v>
      </c>
      <c r="O289" s="14">
        <f t="shared" si="27"/>
        <v>0.60903528897629189</v>
      </c>
      <c r="P289">
        <v>89199</v>
      </c>
    </row>
    <row r="290" spans="1:16" x14ac:dyDescent="0.3">
      <c r="A290" t="s">
        <v>28</v>
      </c>
      <c r="B290" s="3">
        <v>46143</v>
      </c>
      <c r="C290">
        <v>97868</v>
      </c>
      <c r="D290">
        <v>52856</v>
      </c>
      <c r="E290">
        <v>8199</v>
      </c>
      <c r="F290">
        <v>8922</v>
      </c>
      <c r="G290">
        <v>5358</v>
      </c>
      <c r="H290">
        <v>3391</v>
      </c>
      <c r="I290">
        <v>1967</v>
      </c>
      <c r="J290">
        <v>1807</v>
      </c>
      <c r="K290" s="11">
        <f t="shared" si="25"/>
        <v>0.20253306433535082</v>
      </c>
      <c r="L290">
        <v>465</v>
      </c>
      <c r="M290" s="11">
        <f t="shared" si="26"/>
        <v>0.25733259546209186</v>
      </c>
      <c r="N290">
        <v>1342</v>
      </c>
      <c r="O290" s="14">
        <f t="shared" si="27"/>
        <v>0.74266740453790814</v>
      </c>
      <c r="P290">
        <v>1757</v>
      </c>
    </row>
    <row r="291" spans="1:16" x14ac:dyDescent="0.3">
      <c r="A291" t="s">
        <v>29</v>
      </c>
      <c r="B291" s="3">
        <v>46143</v>
      </c>
      <c r="C291">
        <v>295117</v>
      </c>
      <c r="D291">
        <v>161876</v>
      </c>
      <c r="E291">
        <v>24934</v>
      </c>
      <c r="F291">
        <v>24581</v>
      </c>
      <c r="G291">
        <v>17612</v>
      </c>
      <c r="H291">
        <v>15604</v>
      </c>
      <c r="I291">
        <v>2008</v>
      </c>
      <c r="J291">
        <v>3887</v>
      </c>
      <c r="K291" s="11">
        <f t="shared" si="25"/>
        <v>0.15813026321142346</v>
      </c>
      <c r="L291">
        <v>2229</v>
      </c>
      <c r="M291" s="11">
        <f t="shared" si="26"/>
        <v>0.57344996140982762</v>
      </c>
      <c r="N291">
        <v>1658</v>
      </c>
      <c r="O291" s="14">
        <f t="shared" si="27"/>
        <v>0.42655003859017238</v>
      </c>
      <c r="P291">
        <v>3082</v>
      </c>
    </row>
    <row r="292" spans="1:16" x14ac:dyDescent="0.3">
      <c r="A292" t="s">
        <v>30</v>
      </c>
      <c r="B292" s="3">
        <v>46143</v>
      </c>
      <c r="C292">
        <v>149895</v>
      </c>
      <c r="D292">
        <v>84334</v>
      </c>
      <c r="E292">
        <v>11656</v>
      </c>
      <c r="F292">
        <v>11320</v>
      </c>
      <c r="G292">
        <v>7442</v>
      </c>
      <c r="H292">
        <v>4283</v>
      </c>
      <c r="I292">
        <v>3159</v>
      </c>
      <c r="J292">
        <v>3136</v>
      </c>
      <c r="K292" s="11">
        <f t="shared" si="25"/>
        <v>0.27703180212014133</v>
      </c>
      <c r="L292">
        <v>506</v>
      </c>
      <c r="M292" s="11">
        <f t="shared" si="26"/>
        <v>0.16135204081632654</v>
      </c>
      <c r="N292">
        <v>2630</v>
      </c>
      <c r="O292" s="14">
        <f t="shared" si="27"/>
        <v>0.83864795918367352</v>
      </c>
      <c r="P292">
        <v>742</v>
      </c>
    </row>
    <row r="293" spans="1:16" x14ac:dyDescent="0.3">
      <c r="A293" t="s">
        <v>31</v>
      </c>
      <c r="B293" s="3">
        <v>46143</v>
      </c>
      <c r="C293">
        <v>1485752</v>
      </c>
      <c r="D293">
        <v>940800</v>
      </c>
      <c r="E293">
        <v>125714</v>
      </c>
      <c r="F293">
        <v>156837</v>
      </c>
      <c r="G293">
        <v>68471</v>
      </c>
      <c r="H293">
        <v>51350</v>
      </c>
      <c r="I293">
        <v>17121</v>
      </c>
      <c r="J293">
        <v>11146</v>
      </c>
      <c r="K293" s="11">
        <f t="shared" si="25"/>
        <v>7.106741393931279E-2</v>
      </c>
      <c r="L293">
        <v>4053</v>
      </c>
      <c r="M293" s="11">
        <f t="shared" si="26"/>
        <v>0.36362820742867397</v>
      </c>
      <c r="N293">
        <v>7093</v>
      </c>
      <c r="O293" s="14">
        <f t="shared" si="27"/>
        <v>0.63637179257132603</v>
      </c>
      <c r="P293">
        <v>77220</v>
      </c>
    </row>
    <row r="294" spans="1:16" x14ac:dyDescent="0.3">
      <c r="A294" t="s">
        <v>32</v>
      </c>
      <c r="B294" s="3">
        <v>46143</v>
      </c>
      <c r="C294">
        <v>631890</v>
      </c>
      <c r="D294">
        <v>369647</v>
      </c>
      <c r="E294">
        <v>36297</v>
      </c>
      <c r="F294">
        <v>32658</v>
      </c>
      <c r="G294">
        <v>22828</v>
      </c>
      <c r="H294">
        <v>15191</v>
      </c>
      <c r="I294">
        <v>7637</v>
      </c>
      <c r="J294">
        <v>8890</v>
      </c>
      <c r="K294" s="11">
        <f t="shared" si="25"/>
        <v>0.27221507746953272</v>
      </c>
      <c r="L294">
        <v>994</v>
      </c>
      <c r="M294" s="11">
        <f t="shared" si="26"/>
        <v>0.11181102362204724</v>
      </c>
      <c r="N294">
        <v>7896</v>
      </c>
      <c r="O294" s="14">
        <f t="shared" si="27"/>
        <v>0.8881889763779528</v>
      </c>
      <c r="P294">
        <v>940</v>
      </c>
    </row>
    <row r="295" spans="1:16" x14ac:dyDescent="0.3">
      <c r="A295" t="s">
        <v>33</v>
      </c>
      <c r="B295" s="3">
        <v>46143</v>
      </c>
      <c r="C295">
        <v>668617</v>
      </c>
      <c r="D295">
        <v>403874</v>
      </c>
      <c r="E295">
        <v>58278</v>
      </c>
      <c r="F295">
        <v>60082</v>
      </c>
      <c r="G295">
        <v>52381</v>
      </c>
      <c r="H295">
        <v>49079</v>
      </c>
      <c r="I295">
        <v>3302</v>
      </c>
      <c r="J295">
        <v>7222</v>
      </c>
      <c r="K295" s="11">
        <f t="shared" si="25"/>
        <v>0.12020239006690855</v>
      </c>
      <c r="L295">
        <v>2000</v>
      </c>
      <c r="M295" s="11">
        <f t="shared" si="26"/>
        <v>0.27693159789531985</v>
      </c>
      <c r="N295">
        <v>5222</v>
      </c>
      <c r="O295" s="14">
        <f t="shared" si="27"/>
        <v>0.72306840210468015</v>
      </c>
      <c r="P295">
        <v>479</v>
      </c>
    </row>
    <row r="296" spans="1:16" x14ac:dyDescent="0.3">
      <c r="A296" t="s">
        <v>34</v>
      </c>
      <c r="B296" s="3">
        <v>46143</v>
      </c>
      <c r="C296">
        <v>5740678</v>
      </c>
      <c r="D296">
        <v>3966883</v>
      </c>
      <c r="E296">
        <v>504427</v>
      </c>
      <c r="F296">
        <v>376823</v>
      </c>
      <c r="G296">
        <v>275762</v>
      </c>
      <c r="H296">
        <v>106854</v>
      </c>
      <c r="I296">
        <v>168908</v>
      </c>
      <c r="J296">
        <v>93250</v>
      </c>
      <c r="K296" s="11">
        <f t="shared" si="25"/>
        <v>0.24746366331142208</v>
      </c>
      <c r="L296">
        <v>31699</v>
      </c>
      <c r="M296" s="11">
        <f t="shared" si="26"/>
        <v>0.33993565683646115</v>
      </c>
      <c r="N296">
        <v>61551</v>
      </c>
      <c r="O296" s="14">
        <f t="shared" si="27"/>
        <v>0.6600643431635389</v>
      </c>
      <c r="P296">
        <v>7811</v>
      </c>
    </row>
    <row r="297" spans="1:16" x14ac:dyDescent="0.3">
      <c r="A297" t="s">
        <v>35</v>
      </c>
      <c r="B297" s="3">
        <v>46143</v>
      </c>
      <c r="C297">
        <v>2390836</v>
      </c>
      <c r="D297">
        <v>1503400</v>
      </c>
      <c r="E297">
        <v>237169</v>
      </c>
      <c r="F297">
        <v>233842</v>
      </c>
      <c r="G297">
        <v>155461</v>
      </c>
      <c r="H297">
        <v>120525</v>
      </c>
      <c r="I297">
        <v>34936</v>
      </c>
      <c r="J297">
        <v>47765</v>
      </c>
      <c r="K297" s="11">
        <f t="shared" si="25"/>
        <v>0.20426185201973981</v>
      </c>
      <c r="L297">
        <v>4373</v>
      </c>
      <c r="M297" s="11">
        <f t="shared" si="26"/>
        <v>9.1552391918768974E-2</v>
      </c>
      <c r="N297">
        <v>43392</v>
      </c>
      <c r="O297" s="14">
        <f t="shared" si="27"/>
        <v>0.90844760808123104</v>
      </c>
      <c r="P297">
        <v>30616</v>
      </c>
    </row>
    <row r="298" spans="1:16" x14ac:dyDescent="0.3">
      <c r="A298" t="s">
        <v>36</v>
      </c>
      <c r="B298" s="3">
        <v>46143</v>
      </c>
      <c r="C298">
        <v>910500</v>
      </c>
      <c r="D298">
        <v>489158</v>
      </c>
      <c r="E298">
        <v>70777</v>
      </c>
      <c r="F298">
        <v>69984</v>
      </c>
      <c r="G298">
        <v>40987</v>
      </c>
      <c r="H298">
        <v>29417</v>
      </c>
      <c r="I298">
        <v>11570</v>
      </c>
      <c r="J298">
        <v>25861</v>
      </c>
      <c r="K298" s="11">
        <f t="shared" si="25"/>
        <v>0.36952732053040693</v>
      </c>
      <c r="L298">
        <v>4532</v>
      </c>
      <c r="M298" s="11">
        <f t="shared" si="26"/>
        <v>0.17524457677584007</v>
      </c>
      <c r="N298">
        <v>21329</v>
      </c>
      <c r="O298" s="14">
        <f t="shared" si="27"/>
        <v>0.82475542322415996</v>
      </c>
      <c r="P298">
        <v>3136</v>
      </c>
    </row>
    <row r="299" spans="1:16" x14ac:dyDescent="0.3">
      <c r="A299" t="s">
        <v>37</v>
      </c>
      <c r="B299" s="3">
        <v>46143</v>
      </c>
      <c r="C299">
        <v>1091780</v>
      </c>
      <c r="D299">
        <v>805561</v>
      </c>
      <c r="E299">
        <v>67172</v>
      </c>
      <c r="F299">
        <v>70931</v>
      </c>
      <c r="G299">
        <v>58611</v>
      </c>
      <c r="H299">
        <v>50919</v>
      </c>
      <c r="I299">
        <v>7692</v>
      </c>
      <c r="J299">
        <v>12206</v>
      </c>
      <c r="K299" s="11">
        <f t="shared" si="25"/>
        <v>0.17208272828523494</v>
      </c>
      <c r="L299">
        <v>3201</v>
      </c>
      <c r="M299" s="11">
        <f t="shared" si="26"/>
        <v>0.26224807471735212</v>
      </c>
      <c r="N299">
        <v>9005</v>
      </c>
      <c r="O299" s="14">
        <f t="shared" si="27"/>
        <v>0.73775192528264788</v>
      </c>
      <c r="P299">
        <v>114</v>
      </c>
    </row>
    <row r="300" spans="1:16" x14ac:dyDescent="0.3">
      <c r="A300" t="s">
        <v>38</v>
      </c>
      <c r="B300" s="3">
        <v>46143</v>
      </c>
      <c r="C300">
        <v>2686546</v>
      </c>
      <c r="D300">
        <v>1568693</v>
      </c>
      <c r="E300">
        <v>210743</v>
      </c>
      <c r="F300">
        <v>199158</v>
      </c>
      <c r="G300">
        <v>115782</v>
      </c>
      <c r="H300">
        <v>38970</v>
      </c>
      <c r="I300">
        <v>76812</v>
      </c>
      <c r="J300">
        <v>29630</v>
      </c>
      <c r="K300" s="11">
        <f t="shared" si="25"/>
        <v>0.14877634842687715</v>
      </c>
      <c r="L300">
        <v>16357</v>
      </c>
      <c r="M300" s="11">
        <f t="shared" si="26"/>
        <v>0.55204184947688151</v>
      </c>
      <c r="N300">
        <v>13273</v>
      </c>
      <c r="O300" s="14">
        <f t="shared" si="27"/>
        <v>0.44795815052311844</v>
      </c>
      <c r="P300">
        <v>53746</v>
      </c>
    </row>
    <row r="301" spans="1:16" x14ac:dyDescent="0.3">
      <c r="A301" t="s">
        <v>39</v>
      </c>
      <c r="B301" s="3">
        <v>46143</v>
      </c>
      <c r="C301">
        <v>251355</v>
      </c>
      <c r="D301">
        <v>169627</v>
      </c>
      <c r="E301">
        <v>22174</v>
      </c>
      <c r="F301">
        <v>21352</v>
      </c>
      <c r="G301">
        <v>17592</v>
      </c>
      <c r="H301">
        <v>15768</v>
      </c>
      <c r="I301">
        <v>1824</v>
      </c>
      <c r="J301">
        <v>3710</v>
      </c>
      <c r="K301" s="11">
        <f t="shared" si="25"/>
        <v>0.1737542150618209</v>
      </c>
      <c r="L301">
        <v>1473</v>
      </c>
      <c r="M301" s="11">
        <f t="shared" si="26"/>
        <v>0.39703504043126686</v>
      </c>
      <c r="N301">
        <v>2237</v>
      </c>
      <c r="O301" s="14">
        <f t="shared" si="27"/>
        <v>0.60296495956873319</v>
      </c>
      <c r="P301">
        <v>50</v>
      </c>
    </row>
    <row r="302" spans="1:16" x14ac:dyDescent="0.3">
      <c r="A302" t="s">
        <v>40</v>
      </c>
      <c r="B302" s="3">
        <v>46143</v>
      </c>
      <c r="C302">
        <v>845809</v>
      </c>
      <c r="D302">
        <v>363120</v>
      </c>
      <c r="E302">
        <v>77573</v>
      </c>
      <c r="F302">
        <v>65756</v>
      </c>
      <c r="G302">
        <v>44729</v>
      </c>
      <c r="H302">
        <v>41663</v>
      </c>
      <c r="I302">
        <v>3066</v>
      </c>
      <c r="J302">
        <v>18855</v>
      </c>
      <c r="K302" s="11">
        <f t="shared" si="25"/>
        <v>0.28674189427580754</v>
      </c>
      <c r="L302">
        <v>15712</v>
      </c>
      <c r="M302" s="11">
        <f t="shared" si="26"/>
        <v>0.83330681516839034</v>
      </c>
      <c r="N302">
        <v>3143</v>
      </c>
      <c r="O302" s="14">
        <f t="shared" si="27"/>
        <v>0.16669318483160966</v>
      </c>
      <c r="P302">
        <v>2172</v>
      </c>
    </row>
    <row r="303" spans="1:16" x14ac:dyDescent="0.3">
      <c r="A303" t="s">
        <v>41</v>
      </c>
      <c r="B303" s="3">
        <v>46143</v>
      </c>
      <c r="C303">
        <v>124199</v>
      </c>
      <c r="D303">
        <v>62618</v>
      </c>
      <c r="E303">
        <v>13355</v>
      </c>
      <c r="F303">
        <v>13374</v>
      </c>
      <c r="G303">
        <v>10837</v>
      </c>
      <c r="H303">
        <v>7813</v>
      </c>
      <c r="I303">
        <v>3024</v>
      </c>
      <c r="J303">
        <v>2341</v>
      </c>
      <c r="K303" s="11">
        <f t="shared" si="25"/>
        <v>0.17504112457006132</v>
      </c>
      <c r="L303">
        <v>415</v>
      </c>
      <c r="M303" s="11">
        <f t="shared" si="26"/>
        <v>0.17727466894489535</v>
      </c>
      <c r="N303">
        <v>1926</v>
      </c>
      <c r="O303" s="14">
        <f t="shared" si="27"/>
        <v>0.8227253310551047</v>
      </c>
      <c r="P303">
        <v>196</v>
      </c>
    </row>
    <row r="304" spans="1:16" x14ac:dyDescent="0.3">
      <c r="A304" t="s">
        <v>42</v>
      </c>
      <c r="B304" s="3">
        <v>46143</v>
      </c>
      <c r="C304">
        <v>1203983</v>
      </c>
      <c r="D304">
        <v>565144</v>
      </c>
      <c r="E304">
        <v>95562</v>
      </c>
      <c r="F304">
        <v>89363</v>
      </c>
      <c r="G304">
        <v>80165</v>
      </c>
      <c r="H304">
        <v>61147</v>
      </c>
      <c r="I304">
        <v>19018</v>
      </c>
      <c r="J304">
        <v>8978</v>
      </c>
      <c r="K304" s="11">
        <f t="shared" si="25"/>
        <v>0.10046663607980932</v>
      </c>
      <c r="L304">
        <v>2964</v>
      </c>
      <c r="M304" s="11">
        <f t="shared" si="26"/>
        <v>0.3301403430608153</v>
      </c>
      <c r="N304">
        <v>6014</v>
      </c>
      <c r="O304" s="14">
        <f t="shared" si="27"/>
        <v>0.6698596569391847</v>
      </c>
      <c r="P304">
        <v>220</v>
      </c>
    </row>
    <row r="305" spans="1:16" x14ac:dyDescent="0.3">
      <c r="A305" t="s">
        <v>43</v>
      </c>
      <c r="B305" s="3">
        <v>46143</v>
      </c>
      <c r="C305">
        <v>3612168</v>
      </c>
      <c r="D305">
        <v>955434</v>
      </c>
      <c r="E305">
        <v>353283</v>
      </c>
      <c r="F305">
        <v>264602</v>
      </c>
      <c r="G305">
        <v>159405</v>
      </c>
      <c r="H305">
        <v>25172</v>
      </c>
      <c r="I305">
        <v>134233</v>
      </c>
      <c r="J305">
        <v>84915</v>
      </c>
      <c r="K305" s="11">
        <f t="shared" si="25"/>
        <v>0.32091594167844534</v>
      </c>
      <c r="L305">
        <v>23242</v>
      </c>
      <c r="M305" s="11">
        <f t="shared" si="26"/>
        <v>0.27370900312076785</v>
      </c>
      <c r="N305">
        <v>61673</v>
      </c>
      <c r="O305" s="14">
        <f t="shared" si="27"/>
        <v>0.72629099687923215</v>
      </c>
      <c r="P305">
        <v>20282</v>
      </c>
    </row>
    <row r="306" spans="1:16" x14ac:dyDescent="0.3">
      <c r="A306" t="s">
        <v>44</v>
      </c>
      <c r="B306" s="3">
        <v>46143</v>
      </c>
      <c r="C306">
        <v>290393</v>
      </c>
      <c r="D306">
        <v>163173</v>
      </c>
      <c r="E306">
        <v>24219</v>
      </c>
      <c r="F306">
        <v>28856</v>
      </c>
      <c r="G306">
        <v>15689</v>
      </c>
      <c r="H306">
        <v>10115</v>
      </c>
      <c r="I306">
        <v>5574</v>
      </c>
      <c r="J306">
        <v>8625</v>
      </c>
      <c r="K306" s="11">
        <f t="shared" si="25"/>
        <v>0.2988979761574716</v>
      </c>
      <c r="L306">
        <v>987</v>
      </c>
      <c r="M306" s="11">
        <f t="shared" si="26"/>
        <v>0.11443478260869565</v>
      </c>
      <c r="N306">
        <v>7638</v>
      </c>
      <c r="O306" s="14">
        <f t="shared" si="27"/>
        <v>0.88556521739130434</v>
      </c>
      <c r="P306">
        <v>4542</v>
      </c>
    </row>
    <row r="307" spans="1:16" x14ac:dyDescent="0.3">
      <c r="A307" t="s">
        <v>45</v>
      </c>
      <c r="B307" s="3">
        <v>46143</v>
      </c>
      <c r="C307">
        <v>1456891</v>
      </c>
      <c r="D307">
        <v>859730</v>
      </c>
      <c r="E307">
        <v>122948</v>
      </c>
      <c r="F307">
        <v>159404</v>
      </c>
      <c r="G307">
        <v>141652</v>
      </c>
      <c r="H307">
        <v>86697</v>
      </c>
      <c r="I307">
        <v>54955</v>
      </c>
      <c r="J307">
        <v>15485</v>
      </c>
      <c r="K307" s="11">
        <f t="shared" si="25"/>
        <v>9.7143108077589024E-2</v>
      </c>
      <c r="L307">
        <v>2788</v>
      </c>
      <c r="M307" s="11">
        <f t="shared" si="26"/>
        <v>0.1800452050371327</v>
      </c>
      <c r="N307">
        <v>12697</v>
      </c>
      <c r="O307" s="14">
        <f t="shared" si="27"/>
        <v>0.81995479496286727</v>
      </c>
      <c r="P307">
        <v>2267</v>
      </c>
    </row>
    <row r="308" spans="1:16" x14ac:dyDescent="0.3">
      <c r="A308" t="s">
        <v>46</v>
      </c>
      <c r="B308" s="3">
        <v>46143</v>
      </c>
      <c r="C308">
        <v>139849</v>
      </c>
      <c r="D308">
        <v>89244</v>
      </c>
      <c r="E308">
        <v>9583</v>
      </c>
      <c r="F308">
        <v>10441</v>
      </c>
      <c r="G308">
        <v>7872</v>
      </c>
      <c r="H308">
        <v>6991</v>
      </c>
      <c r="I308">
        <v>881</v>
      </c>
      <c r="J308">
        <v>1530</v>
      </c>
      <c r="K308" s="11">
        <f t="shared" si="25"/>
        <v>0.14653768796092329</v>
      </c>
      <c r="L308">
        <v>279</v>
      </c>
      <c r="M308" s="11">
        <f t="shared" si="26"/>
        <v>0.18235294117647058</v>
      </c>
      <c r="N308">
        <v>1251</v>
      </c>
      <c r="O308" s="14">
        <f t="shared" si="27"/>
        <v>0.81764705882352939</v>
      </c>
      <c r="P308">
        <v>1039</v>
      </c>
    </row>
    <row r="309" spans="1:16" x14ac:dyDescent="0.3">
      <c r="A309" t="s">
        <v>47</v>
      </c>
      <c r="B309" s="3">
        <v>46143</v>
      </c>
      <c r="C309">
        <v>1724000</v>
      </c>
      <c r="D309">
        <v>973001</v>
      </c>
      <c r="E309">
        <v>151811</v>
      </c>
      <c r="F309">
        <v>113571</v>
      </c>
      <c r="G309">
        <v>99430</v>
      </c>
      <c r="H309">
        <v>92728</v>
      </c>
      <c r="I309">
        <v>6702</v>
      </c>
      <c r="J309">
        <v>13292</v>
      </c>
      <c r="K309" s="11">
        <f t="shared" si="25"/>
        <v>0.11703691963617473</v>
      </c>
      <c r="L309">
        <v>1971</v>
      </c>
      <c r="M309" s="11">
        <f t="shared" si="26"/>
        <v>0.14828468251579899</v>
      </c>
      <c r="N309">
        <v>11321</v>
      </c>
      <c r="O309" s="14">
        <f t="shared" si="27"/>
        <v>0.85171531748420104</v>
      </c>
      <c r="P309">
        <v>849</v>
      </c>
    </row>
    <row r="310" spans="1:16" x14ac:dyDescent="0.3">
      <c r="A310" t="s">
        <v>48</v>
      </c>
      <c r="B310" s="3">
        <v>46143</v>
      </c>
      <c r="C310">
        <v>1012295</v>
      </c>
      <c r="D310">
        <v>579019</v>
      </c>
      <c r="E310">
        <v>66165</v>
      </c>
      <c r="F310">
        <v>73043</v>
      </c>
      <c r="G310">
        <v>51008</v>
      </c>
      <c r="H310">
        <v>33066</v>
      </c>
      <c r="I310">
        <v>17942</v>
      </c>
      <c r="J310">
        <v>16648</v>
      </c>
      <c r="K310" s="11">
        <f t="shared" si="25"/>
        <v>0.22792053995591638</v>
      </c>
      <c r="L310">
        <v>7186</v>
      </c>
      <c r="M310" s="11">
        <f t="shared" si="26"/>
        <v>0.43164344065353194</v>
      </c>
      <c r="N310">
        <v>9462</v>
      </c>
      <c r="O310" s="14">
        <f t="shared" si="27"/>
        <v>0.568356559346468</v>
      </c>
      <c r="P310">
        <v>5387</v>
      </c>
    </row>
    <row r="311" spans="1:16" x14ac:dyDescent="0.3">
      <c r="A311" t="s">
        <v>49</v>
      </c>
      <c r="B311" s="3">
        <v>46143</v>
      </c>
      <c r="C311">
        <v>447082</v>
      </c>
      <c r="D311">
        <v>293972</v>
      </c>
      <c r="E311">
        <v>34867</v>
      </c>
      <c r="F311">
        <v>27421</v>
      </c>
      <c r="G311">
        <v>21455</v>
      </c>
      <c r="H311">
        <v>16439</v>
      </c>
      <c r="I311">
        <v>5016</v>
      </c>
      <c r="J311">
        <v>5683</v>
      </c>
      <c r="K311" s="11">
        <f t="shared" si="25"/>
        <v>0.2072499179460997</v>
      </c>
      <c r="L311">
        <v>1247</v>
      </c>
      <c r="M311" s="11">
        <f t="shared" si="26"/>
        <v>0.21942635931726201</v>
      </c>
      <c r="N311">
        <v>4436</v>
      </c>
      <c r="O311" s="14">
        <f t="shared" si="27"/>
        <v>0.78057364068273805</v>
      </c>
      <c r="P311">
        <v>283</v>
      </c>
    </row>
    <row r="312" spans="1:16" x14ac:dyDescent="0.3">
      <c r="A312" t="s">
        <v>50</v>
      </c>
      <c r="B312" s="3">
        <v>46143</v>
      </c>
      <c r="C312">
        <v>53830</v>
      </c>
      <c r="D312">
        <v>19445</v>
      </c>
      <c r="E312">
        <v>4580</v>
      </c>
      <c r="F312">
        <v>3920</v>
      </c>
      <c r="G312">
        <v>2515</v>
      </c>
      <c r="H312">
        <v>1748</v>
      </c>
      <c r="I312">
        <v>767</v>
      </c>
      <c r="J312">
        <v>943</v>
      </c>
      <c r="K312" s="11">
        <f>J312/F312</f>
        <v>0.24056122448979592</v>
      </c>
      <c r="L312">
        <v>202</v>
      </c>
      <c r="M312" s="11">
        <f t="shared" si="26"/>
        <v>0.2142099681866384</v>
      </c>
      <c r="N312">
        <v>741</v>
      </c>
      <c r="O312" s="14">
        <f t="shared" si="27"/>
        <v>0.7857900318133616</v>
      </c>
      <c r="P312">
        <v>462</v>
      </c>
    </row>
    <row r="313" spans="1:16" s="1" customFormat="1" x14ac:dyDescent="0.3">
      <c r="A313" s="1" t="s">
        <v>63</v>
      </c>
      <c r="B313" s="8">
        <v>46143</v>
      </c>
      <c r="C313" s="1">
        <f t="shared" ref="C313:J313" si="28">SUM(C262:C312)</f>
        <v>66388522</v>
      </c>
      <c r="D313" s="1">
        <f t="shared" si="28"/>
        <v>38307835</v>
      </c>
      <c r="E313" s="1">
        <f t="shared" si="28"/>
        <v>5651661</v>
      </c>
      <c r="F313" s="1">
        <f t="shared" si="28"/>
        <v>5657983</v>
      </c>
      <c r="G313" s="1">
        <f t="shared" si="28"/>
        <v>3840100</v>
      </c>
      <c r="H313" s="1">
        <f t="shared" si="28"/>
        <v>2698346</v>
      </c>
      <c r="I313" s="1">
        <f t="shared" si="28"/>
        <v>1141754</v>
      </c>
      <c r="J313" s="1">
        <f t="shared" si="28"/>
        <v>1099403</v>
      </c>
      <c r="K313" s="9">
        <f t="shared" si="25"/>
        <v>0.19431005713520172</v>
      </c>
      <c r="L313" s="1">
        <f>SUM(L262:L312)</f>
        <v>275510</v>
      </c>
      <c r="M313" s="9">
        <f>L313/J313</f>
        <v>0.25059964362476728</v>
      </c>
      <c r="N313" s="1">
        <f>SUM(N262:N312)</f>
        <v>823893</v>
      </c>
      <c r="O313" s="13">
        <f>N313/J313</f>
        <v>0.74940035637523272</v>
      </c>
      <c r="P313" s="1">
        <f>SUM(P262:P312)</f>
        <v>718480</v>
      </c>
    </row>
    <row r="314" spans="1:16" x14ac:dyDescent="0.3">
      <c r="A314" t="s">
        <v>0</v>
      </c>
      <c r="B314" s="3">
        <v>46174</v>
      </c>
      <c r="C314">
        <v>194353</v>
      </c>
      <c r="D314">
        <v>123216</v>
      </c>
      <c r="E314">
        <v>16655</v>
      </c>
      <c r="F314">
        <v>15924</v>
      </c>
      <c r="G314">
        <v>7158</v>
      </c>
      <c r="H314">
        <v>4303</v>
      </c>
      <c r="I314">
        <v>2855</v>
      </c>
      <c r="J314">
        <v>5108</v>
      </c>
      <c r="K314" s="11">
        <f t="shared" si="25"/>
        <v>0.3207736749560412</v>
      </c>
      <c r="L314">
        <v>1824</v>
      </c>
      <c r="M314" s="11">
        <f t="shared" ref="M314:M365" si="29">L314/J314</f>
        <v>0.35708692247454971</v>
      </c>
      <c r="N314">
        <v>3284</v>
      </c>
      <c r="O314" s="13">
        <f t="shared" ref="O314:O364" si="30">N314/J314</f>
        <v>0.64291307752545024</v>
      </c>
      <c r="P314">
        <v>3658</v>
      </c>
    </row>
    <row r="315" spans="1:16" x14ac:dyDescent="0.3">
      <c r="A315" t="s">
        <v>1</v>
      </c>
      <c r="B315" s="3">
        <v>46174</v>
      </c>
      <c r="C315">
        <v>731936</v>
      </c>
      <c r="D315">
        <v>262269</v>
      </c>
      <c r="E315">
        <v>105218</v>
      </c>
      <c r="F315">
        <v>105959</v>
      </c>
      <c r="G315">
        <v>75532</v>
      </c>
      <c r="H315">
        <v>37848</v>
      </c>
      <c r="I315">
        <v>37684</v>
      </c>
      <c r="J315">
        <v>28531</v>
      </c>
      <c r="K315" s="11">
        <f t="shared" si="25"/>
        <v>0.26926452684528923</v>
      </c>
      <c r="L315">
        <v>12808</v>
      </c>
      <c r="M315" s="11">
        <f t="shared" si="29"/>
        <v>0.4489152150292664</v>
      </c>
      <c r="N315">
        <v>15723</v>
      </c>
      <c r="O315" s="13">
        <f t="shared" si="30"/>
        <v>0.55108478497073354</v>
      </c>
      <c r="P315">
        <v>1896</v>
      </c>
    </row>
    <row r="316" spans="1:16" x14ac:dyDescent="0.3">
      <c r="A316" t="s">
        <v>2</v>
      </c>
      <c r="B316" s="3">
        <v>46174</v>
      </c>
      <c r="C316">
        <v>694776</v>
      </c>
      <c r="D316">
        <v>375511</v>
      </c>
      <c r="E316">
        <v>51197</v>
      </c>
      <c r="F316">
        <v>53431</v>
      </c>
      <c r="G316">
        <v>44072</v>
      </c>
      <c r="H316">
        <v>38596</v>
      </c>
      <c r="I316">
        <v>5476</v>
      </c>
      <c r="J316">
        <v>9228</v>
      </c>
      <c r="K316" s="11">
        <f t="shared" si="25"/>
        <v>0.17270872714341862</v>
      </c>
      <c r="L316">
        <v>1175</v>
      </c>
      <c r="M316" s="11">
        <f t="shared" si="29"/>
        <v>0.12732986562635457</v>
      </c>
      <c r="N316">
        <v>8053</v>
      </c>
      <c r="O316" s="13">
        <f t="shared" si="30"/>
        <v>0.87267013437364538</v>
      </c>
      <c r="P316">
        <v>131</v>
      </c>
    </row>
    <row r="317" spans="1:16" x14ac:dyDescent="0.3">
      <c r="A317" t="s">
        <v>3</v>
      </c>
      <c r="B317" s="3">
        <v>46174</v>
      </c>
      <c r="C317">
        <v>1500834</v>
      </c>
      <c r="D317">
        <v>907687</v>
      </c>
      <c r="E317">
        <v>131259</v>
      </c>
      <c r="F317">
        <v>98446</v>
      </c>
      <c r="G317">
        <v>72126</v>
      </c>
      <c r="H317">
        <v>58656</v>
      </c>
      <c r="I317">
        <v>13470</v>
      </c>
      <c r="J317">
        <v>22371</v>
      </c>
      <c r="K317" s="11">
        <f t="shared" si="25"/>
        <v>0.22724133027243362</v>
      </c>
      <c r="L317">
        <v>16150</v>
      </c>
      <c r="M317" s="11">
        <f t="shared" si="29"/>
        <v>0.72191676724330611</v>
      </c>
      <c r="N317">
        <v>6221</v>
      </c>
      <c r="O317" s="13">
        <f t="shared" si="30"/>
        <v>0.27808323275669394</v>
      </c>
      <c r="P317">
        <v>3949</v>
      </c>
    </row>
    <row r="318" spans="1:16" x14ac:dyDescent="0.3">
      <c r="A318" t="s">
        <v>4</v>
      </c>
      <c r="B318" s="3">
        <v>46174</v>
      </c>
      <c r="C318">
        <v>10396710</v>
      </c>
      <c r="D318">
        <v>7215654</v>
      </c>
      <c r="E318">
        <v>892223</v>
      </c>
      <c r="F318">
        <v>901120</v>
      </c>
      <c r="G318">
        <v>541675</v>
      </c>
      <c r="H318">
        <v>397900</v>
      </c>
      <c r="I318">
        <v>143775</v>
      </c>
      <c r="J318">
        <v>157272</v>
      </c>
      <c r="K318" s="11">
        <f t="shared" si="25"/>
        <v>0.17452947443181818</v>
      </c>
      <c r="L318">
        <v>14336</v>
      </c>
      <c r="M318" s="11">
        <f t="shared" si="29"/>
        <v>9.1154178747647391E-2</v>
      </c>
      <c r="N318">
        <v>142936</v>
      </c>
      <c r="O318" s="13">
        <f t="shared" si="30"/>
        <v>0.90884582125235258</v>
      </c>
      <c r="P318">
        <v>202173</v>
      </c>
    </row>
    <row r="319" spans="1:16" x14ac:dyDescent="0.3">
      <c r="A319" t="s">
        <v>5</v>
      </c>
      <c r="B319" s="3">
        <v>46174</v>
      </c>
      <c r="C319">
        <v>1051860</v>
      </c>
      <c r="D319">
        <v>662481</v>
      </c>
      <c r="E319">
        <v>85193</v>
      </c>
      <c r="F319">
        <v>85937</v>
      </c>
      <c r="G319">
        <v>69131</v>
      </c>
      <c r="H319">
        <v>52244</v>
      </c>
      <c r="I319">
        <v>16887</v>
      </c>
      <c r="J319">
        <v>13291</v>
      </c>
      <c r="K319" s="11">
        <f t="shared" si="25"/>
        <v>0.15465980892979742</v>
      </c>
      <c r="L319">
        <v>5559</v>
      </c>
      <c r="M319" s="11">
        <f t="shared" si="29"/>
        <v>0.41825295312617561</v>
      </c>
      <c r="N319">
        <v>7732</v>
      </c>
      <c r="O319" s="13">
        <f t="shared" si="30"/>
        <v>0.58174704687382439</v>
      </c>
      <c r="P319">
        <v>3515</v>
      </c>
    </row>
    <row r="320" spans="1:16" x14ac:dyDescent="0.3">
      <c r="A320" t="s">
        <v>6</v>
      </c>
      <c r="B320" s="3">
        <v>46174</v>
      </c>
      <c r="C320">
        <v>870026</v>
      </c>
      <c r="D320">
        <v>533659</v>
      </c>
      <c r="E320">
        <v>97413</v>
      </c>
      <c r="F320">
        <v>83450</v>
      </c>
      <c r="G320">
        <v>71745</v>
      </c>
      <c r="H320">
        <v>68055</v>
      </c>
      <c r="I320">
        <v>3690</v>
      </c>
      <c r="J320">
        <v>7542</v>
      </c>
      <c r="K320" s="11">
        <f t="shared" si="25"/>
        <v>9.0377471539844212E-2</v>
      </c>
      <c r="L320">
        <v>3941</v>
      </c>
      <c r="M320" s="11">
        <f t="shared" si="29"/>
        <v>0.522540440201538</v>
      </c>
      <c r="N320">
        <v>3601</v>
      </c>
      <c r="O320" s="13">
        <f t="shared" si="30"/>
        <v>0.47745955979846194</v>
      </c>
      <c r="P320">
        <v>4163</v>
      </c>
    </row>
    <row r="321" spans="1:16" x14ac:dyDescent="0.3">
      <c r="A321" t="s">
        <v>7</v>
      </c>
      <c r="B321" s="3">
        <v>46174</v>
      </c>
      <c r="C321">
        <v>221470</v>
      </c>
      <c r="D321">
        <v>144819</v>
      </c>
      <c r="E321">
        <v>19437</v>
      </c>
      <c r="F321">
        <v>16766</v>
      </c>
      <c r="G321">
        <v>12639</v>
      </c>
      <c r="H321">
        <v>11816</v>
      </c>
      <c r="I321">
        <v>823</v>
      </c>
      <c r="J321">
        <v>2590</v>
      </c>
      <c r="K321" s="11">
        <f t="shared" si="25"/>
        <v>0.15447930335202195</v>
      </c>
      <c r="L321">
        <v>145</v>
      </c>
      <c r="M321" s="11">
        <f t="shared" si="29"/>
        <v>5.5984555984555984E-2</v>
      </c>
      <c r="N321">
        <v>2445</v>
      </c>
      <c r="O321" s="13">
        <f t="shared" si="30"/>
        <v>0.94401544401544402</v>
      </c>
      <c r="P321">
        <v>1537</v>
      </c>
    </row>
    <row r="322" spans="1:16" x14ac:dyDescent="0.3">
      <c r="A322" t="s">
        <v>8</v>
      </c>
      <c r="B322" s="3">
        <v>46174</v>
      </c>
      <c r="C322">
        <v>221175</v>
      </c>
      <c r="D322">
        <v>130875</v>
      </c>
      <c r="E322">
        <v>15994</v>
      </c>
      <c r="F322">
        <v>15157</v>
      </c>
      <c r="G322">
        <v>9256</v>
      </c>
      <c r="H322">
        <v>5501</v>
      </c>
      <c r="I322">
        <v>3755</v>
      </c>
      <c r="J322">
        <v>5403</v>
      </c>
      <c r="K322" s="11">
        <f t="shared" si="25"/>
        <v>0.35646895823711816</v>
      </c>
      <c r="L322">
        <v>1568</v>
      </c>
      <c r="M322" s="11">
        <f t="shared" si="29"/>
        <v>0.29020914306866558</v>
      </c>
      <c r="N322">
        <v>3835</v>
      </c>
      <c r="O322" s="13">
        <f t="shared" si="30"/>
        <v>0.70979085693133448</v>
      </c>
      <c r="P322">
        <v>498</v>
      </c>
    </row>
    <row r="323" spans="1:16" x14ac:dyDescent="0.3">
      <c r="A323" t="s">
        <v>9</v>
      </c>
      <c r="B323" s="3">
        <v>46174</v>
      </c>
      <c r="C323">
        <v>3396650</v>
      </c>
      <c r="D323">
        <v>1281373</v>
      </c>
      <c r="E323">
        <v>161339</v>
      </c>
      <c r="F323">
        <v>171927</v>
      </c>
      <c r="G323">
        <v>115138</v>
      </c>
      <c r="H323">
        <v>38444</v>
      </c>
      <c r="I323">
        <v>76694</v>
      </c>
      <c r="J323">
        <v>31707</v>
      </c>
      <c r="K323" s="11">
        <f t="shared" si="25"/>
        <v>0.18442129508454169</v>
      </c>
      <c r="L323">
        <v>12983</v>
      </c>
      <c r="M323" s="11">
        <f t="shared" si="29"/>
        <v>0.4094679408332545</v>
      </c>
      <c r="N323">
        <v>18724</v>
      </c>
      <c r="O323" s="13">
        <f t="shared" si="30"/>
        <v>0.59053205916674556</v>
      </c>
      <c r="P323">
        <v>25082</v>
      </c>
    </row>
    <row r="324" spans="1:16" x14ac:dyDescent="0.3">
      <c r="A324" t="s">
        <v>10</v>
      </c>
      <c r="B324" s="3">
        <v>46174</v>
      </c>
      <c r="C324">
        <v>1644619</v>
      </c>
      <c r="D324">
        <v>545289</v>
      </c>
      <c r="E324">
        <v>122390</v>
      </c>
      <c r="F324">
        <v>231064</v>
      </c>
      <c r="G324">
        <v>140375</v>
      </c>
      <c r="H324">
        <v>103866</v>
      </c>
      <c r="I324">
        <v>36509</v>
      </c>
      <c r="J324">
        <v>64554</v>
      </c>
      <c r="K324" s="11">
        <f t="shared" si="25"/>
        <v>0.27937714226361526</v>
      </c>
      <c r="L324">
        <v>25518</v>
      </c>
      <c r="M324" s="11">
        <f t="shared" si="29"/>
        <v>0.39529696068407844</v>
      </c>
      <c r="N324">
        <v>39036</v>
      </c>
      <c r="O324" s="13">
        <f t="shared" si="30"/>
        <v>0.60470303931592151</v>
      </c>
      <c r="P324">
        <v>26135</v>
      </c>
    </row>
    <row r="325" spans="1:16" x14ac:dyDescent="0.3">
      <c r="A325" t="s">
        <v>11</v>
      </c>
      <c r="B325" s="3">
        <v>46174</v>
      </c>
      <c r="C325">
        <v>365106</v>
      </c>
      <c r="D325">
        <v>236198</v>
      </c>
      <c r="E325">
        <v>35319</v>
      </c>
      <c r="F325">
        <v>36142</v>
      </c>
      <c r="G325">
        <v>31838</v>
      </c>
      <c r="H325">
        <v>26918</v>
      </c>
      <c r="I325">
        <v>4920</v>
      </c>
      <c r="J325">
        <v>3289</v>
      </c>
      <c r="K325" s="11">
        <f t="shared" si="25"/>
        <v>9.1002158153948312E-2</v>
      </c>
      <c r="L325">
        <v>587</v>
      </c>
      <c r="M325" s="11">
        <f t="shared" si="29"/>
        <v>0.17847370021283065</v>
      </c>
      <c r="N325">
        <v>2702</v>
      </c>
      <c r="O325" s="13">
        <f t="shared" si="30"/>
        <v>0.8215262997871694</v>
      </c>
      <c r="P325">
        <v>1015</v>
      </c>
    </row>
    <row r="326" spans="1:16" x14ac:dyDescent="0.3">
      <c r="A326" t="s">
        <v>12</v>
      </c>
      <c r="B326" s="3">
        <v>46174</v>
      </c>
      <c r="C326">
        <v>592144</v>
      </c>
      <c r="D326">
        <v>342528</v>
      </c>
      <c r="E326">
        <v>61190</v>
      </c>
      <c r="F326">
        <v>50176</v>
      </c>
      <c r="G326">
        <v>40740</v>
      </c>
      <c r="H326">
        <v>29594</v>
      </c>
      <c r="I326">
        <v>11146</v>
      </c>
      <c r="J326">
        <v>6917</v>
      </c>
      <c r="K326" s="11">
        <f t="shared" ref="K326:K364" si="31">J326/F326</f>
        <v>0.1378547512755102</v>
      </c>
      <c r="L326">
        <v>1337</v>
      </c>
      <c r="M326" s="11">
        <f t="shared" si="29"/>
        <v>0.19329188954749169</v>
      </c>
      <c r="N326">
        <v>5580</v>
      </c>
      <c r="O326" s="13">
        <f t="shared" si="30"/>
        <v>0.80670811045250834</v>
      </c>
      <c r="P326">
        <v>2519</v>
      </c>
    </row>
    <row r="327" spans="1:16" x14ac:dyDescent="0.3">
      <c r="A327" t="s">
        <v>13</v>
      </c>
      <c r="B327" s="3">
        <v>46174</v>
      </c>
      <c r="C327">
        <v>287984</v>
      </c>
      <c r="D327">
        <v>158547</v>
      </c>
      <c r="E327">
        <v>20145</v>
      </c>
      <c r="F327">
        <v>19476</v>
      </c>
      <c r="G327">
        <v>14129</v>
      </c>
      <c r="H327">
        <v>9870</v>
      </c>
      <c r="I327">
        <v>4259</v>
      </c>
      <c r="J327">
        <v>5220</v>
      </c>
      <c r="K327" s="11">
        <f t="shared" si="31"/>
        <v>0.26802218114602588</v>
      </c>
      <c r="L327">
        <v>1013</v>
      </c>
      <c r="M327" s="11">
        <f t="shared" si="29"/>
        <v>0.19406130268199234</v>
      </c>
      <c r="N327">
        <v>4207</v>
      </c>
      <c r="O327" s="13">
        <f t="shared" si="30"/>
        <v>0.80593869731800771</v>
      </c>
      <c r="P327">
        <v>127</v>
      </c>
    </row>
    <row r="328" spans="1:16" x14ac:dyDescent="0.3">
      <c r="A328" t="s">
        <v>14</v>
      </c>
      <c r="B328" s="3">
        <v>46174</v>
      </c>
      <c r="C328">
        <v>2566240</v>
      </c>
      <c r="D328">
        <v>1614595</v>
      </c>
      <c r="E328">
        <v>240527</v>
      </c>
      <c r="F328">
        <v>201287</v>
      </c>
      <c r="G328">
        <v>161809</v>
      </c>
      <c r="H328">
        <v>132556</v>
      </c>
      <c r="I328">
        <v>29253</v>
      </c>
      <c r="J328">
        <v>21457</v>
      </c>
      <c r="K328" s="11">
        <f t="shared" si="31"/>
        <v>0.10659903520843372</v>
      </c>
      <c r="L328">
        <v>4500</v>
      </c>
      <c r="M328" s="11">
        <f t="shared" si="29"/>
        <v>0.20972176911963461</v>
      </c>
      <c r="N328">
        <v>16957</v>
      </c>
      <c r="O328" s="13">
        <f t="shared" si="30"/>
        <v>0.79027823088036542</v>
      </c>
      <c r="P328">
        <v>18021</v>
      </c>
    </row>
    <row r="329" spans="1:16" x14ac:dyDescent="0.3">
      <c r="A329" t="s">
        <v>15</v>
      </c>
      <c r="B329" s="3">
        <v>46174</v>
      </c>
      <c r="C329">
        <v>1242736</v>
      </c>
      <c r="D329">
        <v>714773</v>
      </c>
      <c r="E329">
        <v>104753</v>
      </c>
      <c r="F329">
        <v>110131</v>
      </c>
      <c r="G329">
        <v>23529</v>
      </c>
      <c r="H329">
        <v>8481</v>
      </c>
      <c r="I329">
        <v>15048</v>
      </c>
      <c r="J329">
        <v>49216</v>
      </c>
      <c r="K329" s="11">
        <f t="shared" si="31"/>
        <v>0.44688598124052265</v>
      </c>
      <c r="L329">
        <v>1269</v>
      </c>
      <c r="M329" s="11">
        <f t="shared" si="29"/>
        <v>2.5784297789336802E-2</v>
      </c>
      <c r="N329">
        <v>47947</v>
      </c>
      <c r="O329" s="13">
        <f t="shared" si="30"/>
        <v>0.97421570221066323</v>
      </c>
      <c r="P329">
        <v>37386</v>
      </c>
    </row>
    <row r="330" spans="1:16" x14ac:dyDescent="0.3">
      <c r="A330" t="s">
        <v>16</v>
      </c>
      <c r="B330" s="3">
        <v>46174</v>
      </c>
      <c r="C330">
        <v>323066</v>
      </c>
      <c r="D330">
        <v>120047</v>
      </c>
      <c r="E330">
        <v>32450</v>
      </c>
      <c r="F330">
        <v>40362</v>
      </c>
      <c r="G330">
        <v>32897</v>
      </c>
      <c r="H330">
        <v>19188</v>
      </c>
      <c r="I330">
        <v>13709</v>
      </c>
      <c r="J330">
        <v>6213</v>
      </c>
      <c r="K330" s="11">
        <f t="shared" si="31"/>
        <v>0.1539319161587632</v>
      </c>
      <c r="L330">
        <v>3742</v>
      </c>
      <c r="M330" s="11">
        <f t="shared" si="29"/>
        <v>0.60228553033961052</v>
      </c>
      <c r="N330">
        <v>2471</v>
      </c>
      <c r="O330" s="13">
        <f t="shared" si="30"/>
        <v>0.39771446966038948</v>
      </c>
      <c r="P330">
        <v>1252</v>
      </c>
    </row>
    <row r="331" spans="1:16" x14ac:dyDescent="0.3">
      <c r="A331" t="s">
        <v>17</v>
      </c>
      <c r="B331" s="3">
        <v>46174</v>
      </c>
      <c r="C331">
        <v>1147774</v>
      </c>
      <c r="D331">
        <v>714608</v>
      </c>
      <c r="E331">
        <v>51576</v>
      </c>
      <c r="F331">
        <v>56235</v>
      </c>
      <c r="G331">
        <v>50982</v>
      </c>
      <c r="H331">
        <v>47629</v>
      </c>
      <c r="I331">
        <v>3353</v>
      </c>
      <c r="J331">
        <v>4998</v>
      </c>
      <c r="K331" s="11">
        <f t="shared" si="31"/>
        <v>8.8877033875700187E-2</v>
      </c>
      <c r="L331">
        <v>1156</v>
      </c>
      <c r="M331" s="11">
        <f t="shared" si="29"/>
        <v>0.23129251700680273</v>
      </c>
      <c r="N331">
        <v>3842</v>
      </c>
      <c r="O331" s="13">
        <f t="shared" si="30"/>
        <v>0.76870748299319724</v>
      </c>
      <c r="P331">
        <v>255</v>
      </c>
    </row>
    <row r="332" spans="1:16" x14ac:dyDescent="0.3">
      <c r="A332" t="s">
        <v>18</v>
      </c>
      <c r="B332" s="3">
        <v>46174</v>
      </c>
      <c r="C332">
        <v>1136776</v>
      </c>
      <c r="D332">
        <v>631261</v>
      </c>
      <c r="E332">
        <v>92620</v>
      </c>
      <c r="F332">
        <v>96868</v>
      </c>
      <c r="G332">
        <v>58729</v>
      </c>
      <c r="H332">
        <v>40381</v>
      </c>
      <c r="I332">
        <v>18348</v>
      </c>
      <c r="J332">
        <v>22605</v>
      </c>
      <c r="K332" s="11">
        <f t="shared" si="31"/>
        <v>0.23335879753891894</v>
      </c>
      <c r="L332">
        <v>2896</v>
      </c>
      <c r="M332" s="11">
        <f t="shared" si="29"/>
        <v>0.12811324928113249</v>
      </c>
      <c r="N332">
        <v>19709</v>
      </c>
      <c r="O332" s="13">
        <f t="shared" si="30"/>
        <v>0.87188675071886745</v>
      </c>
      <c r="P332">
        <v>15534</v>
      </c>
    </row>
    <row r="333" spans="1:16" x14ac:dyDescent="0.3">
      <c r="A333" t="s">
        <v>19</v>
      </c>
      <c r="B333" s="3">
        <v>46174</v>
      </c>
      <c r="C333">
        <v>1352133</v>
      </c>
      <c r="D333">
        <v>868179</v>
      </c>
      <c r="E333">
        <v>73656</v>
      </c>
      <c r="F333">
        <v>72366</v>
      </c>
      <c r="G333">
        <v>58019</v>
      </c>
      <c r="H333">
        <v>45670</v>
      </c>
      <c r="I333">
        <v>12349</v>
      </c>
      <c r="J333">
        <v>12417</v>
      </c>
      <c r="K333" s="11">
        <f t="shared" si="31"/>
        <v>0.17158610397147833</v>
      </c>
      <c r="L333">
        <v>3151</v>
      </c>
      <c r="M333" s="11">
        <f t="shared" si="29"/>
        <v>0.25376499959732624</v>
      </c>
      <c r="N333">
        <v>9266</v>
      </c>
      <c r="O333" s="13">
        <f t="shared" si="30"/>
        <v>0.74623500040267376</v>
      </c>
      <c r="P333">
        <v>1930</v>
      </c>
    </row>
    <row r="334" spans="1:16" x14ac:dyDescent="0.3">
      <c r="A334" t="s">
        <v>20</v>
      </c>
      <c r="B334" s="3">
        <v>46174</v>
      </c>
      <c r="C334">
        <v>1187872</v>
      </c>
      <c r="D334">
        <v>721028</v>
      </c>
      <c r="E334">
        <v>103208</v>
      </c>
      <c r="F334">
        <v>99593</v>
      </c>
      <c r="G334">
        <v>71697</v>
      </c>
      <c r="H334">
        <v>55389</v>
      </c>
      <c r="I334">
        <v>16308</v>
      </c>
      <c r="J334">
        <v>24505</v>
      </c>
      <c r="K334" s="11">
        <f t="shared" si="31"/>
        <v>0.24605142931732149</v>
      </c>
      <c r="L334">
        <v>2896</v>
      </c>
      <c r="M334" s="11">
        <f t="shared" si="29"/>
        <v>0.11817996327280147</v>
      </c>
      <c r="N334">
        <v>21609</v>
      </c>
      <c r="O334" s="13">
        <f t="shared" si="30"/>
        <v>0.88182003672719855</v>
      </c>
      <c r="P334">
        <v>3391</v>
      </c>
    </row>
    <row r="335" spans="1:16" x14ac:dyDescent="0.3">
      <c r="A335" t="s">
        <v>21</v>
      </c>
      <c r="B335" s="3">
        <v>46174</v>
      </c>
      <c r="C335">
        <v>308056</v>
      </c>
      <c r="D335">
        <v>190437</v>
      </c>
      <c r="E335">
        <v>34006</v>
      </c>
      <c r="F335">
        <v>24181</v>
      </c>
      <c r="G335">
        <v>19378</v>
      </c>
      <c r="H335">
        <v>18657</v>
      </c>
      <c r="I335">
        <v>721</v>
      </c>
      <c r="J335">
        <v>1881</v>
      </c>
      <c r="K335" s="11">
        <f t="shared" si="31"/>
        <v>7.7788346222240595E-2</v>
      </c>
      <c r="L335">
        <v>281</v>
      </c>
      <c r="M335" s="11">
        <f t="shared" si="29"/>
        <v>0.1493886230728336</v>
      </c>
      <c r="N335">
        <v>1600</v>
      </c>
      <c r="O335" s="13">
        <f t="shared" si="30"/>
        <v>0.85061137692716637</v>
      </c>
      <c r="P335">
        <v>2922</v>
      </c>
    </row>
    <row r="336" spans="1:16" x14ac:dyDescent="0.3">
      <c r="A336" t="s">
        <v>22</v>
      </c>
      <c r="B336" s="3">
        <v>46174</v>
      </c>
      <c r="C336">
        <v>1969218</v>
      </c>
      <c r="D336">
        <v>1265592</v>
      </c>
      <c r="E336">
        <v>183390</v>
      </c>
      <c r="F336">
        <v>171546</v>
      </c>
      <c r="G336">
        <v>133113</v>
      </c>
      <c r="H336">
        <v>104735</v>
      </c>
      <c r="I336">
        <v>28378</v>
      </c>
      <c r="J336">
        <v>29296</v>
      </c>
      <c r="K336" s="11">
        <f t="shared" si="31"/>
        <v>0.17077635153253354</v>
      </c>
      <c r="L336">
        <v>2934</v>
      </c>
      <c r="M336" s="11">
        <f t="shared" si="29"/>
        <v>0.10015019115237575</v>
      </c>
      <c r="N336">
        <v>26362</v>
      </c>
      <c r="O336" s="13">
        <f t="shared" si="30"/>
        <v>0.89984980884762422</v>
      </c>
      <c r="P336">
        <v>9137</v>
      </c>
    </row>
    <row r="337" spans="1:16" x14ac:dyDescent="0.3">
      <c r="A337" t="s">
        <v>23</v>
      </c>
      <c r="B337" s="3">
        <v>46174</v>
      </c>
      <c r="C337">
        <v>1124825</v>
      </c>
      <c r="D337">
        <v>535429</v>
      </c>
      <c r="E337">
        <v>73956</v>
      </c>
      <c r="F337">
        <v>78765</v>
      </c>
      <c r="G337">
        <v>66680</v>
      </c>
      <c r="H337">
        <v>57905</v>
      </c>
      <c r="I337">
        <v>8775</v>
      </c>
      <c r="J337">
        <v>12085</v>
      </c>
      <c r="K337" s="11">
        <f t="shared" si="31"/>
        <v>0.1534310924903193</v>
      </c>
      <c r="L337">
        <v>1827</v>
      </c>
      <c r="M337" s="11">
        <f t="shared" si="29"/>
        <v>0.151179147703765</v>
      </c>
      <c r="N337">
        <v>10258</v>
      </c>
      <c r="O337" s="13">
        <f t="shared" si="30"/>
        <v>0.84882085229623505</v>
      </c>
      <c r="P337">
        <v>0</v>
      </c>
    </row>
    <row r="338" spans="1:16" x14ac:dyDescent="0.3">
      <c r="A338" t="s">
        <v>24</v>
      </c>
      <c r="B338" s="3">
        <v>46174</v>
      </c>
      <c r="C338">
        <v>1107992</v>
      </c>
      <c r="D338">
        <v>677490</v>
      </c>
      <c r="E338">
        <v>93507</v>
      </c>
      <c r="F338">
        <v>85970</v>
      </c>
      <c r="G338">
        <v>60771</v>
      </c>
      <c r="H338">
        <v>48024</v>
      </c>
      <c r="I338">
        <v>12747</v>
      </c>
      <c r="J338">
        <v>16382</v>
      </c>
      <c r="K338" s="11">
        <f t="shared" si="31"/>
        <v>0.19055484471327208</v>
      </c>
      <c r="L338">
        <v>1794</v>
      </c>
      <c r="M338" s="11">
        <f t="shared" si="29"/>
        <v>0.10951043828592358</v>
      </c>
      <c r="N338">
        <v>14588</v>
      </c>
      <c r="O338" s="13">
        <f t="shared" si="30"/>
        <v>0.89048956171407645</v>
      </c>
      <c r="P338">
        <v>8817</v>
      </c>
    </row>
    <row r="339" spans="1:16" x14ac:dyDescent="0.3">
      <c r="A339" t="s">
        <v>25</v>
      </c>
      <c r="B339" s="3">
        <v>46174</v>
      </c>
      <c r="C339">
        <v>500660</v>
      </c>
      <c r="D339">
        <v>195623</v>
      </c>
      <c r="E339">
        <v>43686</v>
      </c>
      <c r="F339">
        <v>51701</v>
      </c>
      <c r="G339">
        <v>44845</v>
      </c>
      <c r="H339">
        <v>22380</v>
      </c>
      <c r="I339">
        <v>22465</v>
      </c>
      <c r="J339">
        <v>6822</v>
      </c>
      <c r="K339" s="11">
        <f t="shared" si="31"/>
        <v>0.13195102609233864</v>
      </c>
      <c r="L339">
        <v>1296</v>
      </c>
      <c r="M339" s="11">
        <f t="shared" si="29"/>
        <v>0.18997361477572558</v>
      </c>
      <c r="N339">
        <v>5526</v>
      </c>
      <c r="O339" s="13">
        <f t="shared" si="30"/>
        <v>0.81002638522427439</v>
      </c>
      <c r="P339">
        <v>34</v>
      </c>
    </row>
    <row r="340" spans="1:16" x14ac:dyDescent="0.3">
      <c r="A340" t="s">
        <v>26</v>
      </c>
      <c r="B340" s="3">
        <v>46174</v>
      </c>
      <c r="C340">
        <v>184685</v>
      </c>
      <c r="D340">
        <v>116181</v>
      </c>
      <c r="E340">
        <v>12806</v>
      </c>
      <c r="F340">
        <v>11225</v>
      </c>
      <c r="G340">
        <v>5877</v>
      </c>
      <c r="H340">
        <v>4447</v>
      </c>
      <c r="I340">
        <v>1430</v>
      </c>
      <c r="J340">
        <v>2193</v>
      </c>
      <c r="K340" s="11">
        <f t="shared" si="31"/>
        <v>0.19536748329621381</v>
      </c>
      <c r="L340">
        <v>588</v>
      </c>
      <c r="M340" s="11">
        <f t="shared" si="29"/>
        <v>0.26812585499316005</v>
      </c>
      <c r="N340">
        <v>1605</v>
      </c>
      <c r="O340" s="13">
        <f t="shared" si="30"/>
        <v>0.73187414500683989</v>
      </c>
      <c r="P340">
        <v>3155</v>
      </c>
    </row>
    <row r="341" spans="1:16" x14ac:dyDescent="0.3">
      <c r="A341" t="s">
        <v>27</v>
      </c>
      <c r="B341" s="3">
        <v>46174</v>
      </c>
      <c r="C341">
        <v>2461148</v>
      </c>
      <c r="D341">
        <v>1453281</v>
      </c>
      <c r="E341">
        <v>211040</v>
      </c>
      <c r="F341">
        <v>241394</v>
      </c>
      <c r="G341">
        <v>133072</v>
      </c>
      <c r="H341">
        <v>131979</v>
      </c>
      <c r="I341">
        <v>1093</v>
      </c>
      <c r="J341">
        <v>17721</v>
      </c>
      <c r="K341" s="11">
        <f t="shared" si="31"/>
        <v>7.3411103838537828E-2</v>
      </c>
      <c r="L341">
        <v>6763</v>
      </c>
      <c r="M341" s="11">
        <f t="shared" si="29"/>
        <v>0.38163760510129224</v>
      </c>
      <c r="N341">
        <v>10958</v>
      </c>
      <c r="O341" s="13">
        <f t="shared" si="30"/>
        <v>0.6183623948987077</v>
      </c>
      <c r="P341">
        <v>90601</v>
      </c>
    </row>
    <row r="342" spans="1:16" x14ac:dyDescent="0.3">
      <c r="A342" t="s">
        <v>28</v>
      </c>
      <c r="B342" s="3">
        <v>46174</v>
      </c>
      <c r="C342">
        <v>98789</v>
      </c>
      <c r="D342">
        <v>53441</v>
      </c>
      <c r="E342">
        <v>8598</v>
      </c>
      <c r="F342">
        <v>9175</v>
      </c>
      <c r="G342">
        <v>6335</v>
      </c>
      <c r="H342">
        <v>3382</v>
      </c>
      <c r="I342">
        <v>2953</v>
      </c>
      <c r="J342">
        <v>2160</v>
      </c>
      <c r="K342" s="11">
        <f t="shared" si="31"/>
        <v>0.23542234332425069</v>
      </c>
      <c r="L342">
        <v>811</v>
      </c>
      <c r="M342" s="11">
        <f t="shared" si="29"/>
        <v>0.37546296296296294</v>
      </c>
      <c r="N342">
        <v>1349</v>
      </c>
      <c r="O342" s="13">
        <f t="shared" si="30"/>
        <v>0.624537037037037</v>
      </c>
      <c r="P342">
        <v>680</v>
      </c>
    </row>
    <row r="343" spans="1:16" x14ac:dyDescent="0.3">
      <c r="A343" t="s">
        <v>29</v>
      </c>
      <c r="B343" s="3">
        <v>46174</v>
      </c>
      <c r="C343">
        <v>293464</v>
      </c>
      <c r="D343">
        <v>160805</v>
      </c>
      <c r="E343">
        <v>24757</v>
      </c>
      <c r="F343">
        <v>26789</v>
      </c>
      <c r="G343">
        <v>18792</v>
      </c>
      <c r="H343">
        <v>16532</v>
      </c>
      <c r="I343">
        <v>2260</v>
      </c>
      <c r="J343">
        <v>4675</v>
      </c>
      <c r="K343" s="11">
        <f t="shared" si="31"/>
        <v>0.17451192653701145</v>
      </c>
      <c r="L343">
        <v>2464</v>
      </c>
      <c r="M343" s="11">
        <f t="shared" si="29"/>
        <v>0.5270588235294118</v>
      </c>
      <c r="N343">
        <v>2211</v>
      </c>
      <c r="O343" s="13">
        <f t="shared" si="30"/>
        <v>0.47294117647058825</v>
      </c>
      <c r="P343">
        <v>3322</v>
      </c>
    </row>
    <row r="344" spans="1:16" x14ac:dyDescent="0.3">
      <c r="A344" t="s">
        <v>30</v>
      </c>
      <c r="B344" s="3">
        <v>46174</v>
      </c>
      <c r="C344">
        <v>148981</v>
      </c>
      <c r="D344">
        <v>83647</v>
      </c>
      <c r="E344">
        <v>9866</v>
      </c>
      <c r="F344">
        <v>11656</v>
      </c>
      <c r="G344">
        <v>7396</v>
      </c>
      <c r="H344">
        <v>4089</v>
      </c>
      <c r="I344">
        <v>3307</v>
      </c>
      <c r="J344">
        <v>3384</v>
      </c>
      <c r="K344" s="11">
        <f t="shared" si="31"/>
        <v>0.29032258064516131</v>
      </c>
      <c r="L344">
        <v>517</v>
      </c>
      <c r="M344" s="11">
        <f t="shared" si="29"/>
        <v>0.15277777777777779</v>
      </c>
      <c r="N344">
        <v>2867</v>
      </c>
      <c r="O344" s="13">
        <f t="shared" si="30"/>
        <v>0.84722222222222221</v>
      </c>
      <c r="P344">
        <v>876</v>
      </c>
    </row>
    <row r="345" spans="1:16" x14ac:dyDescent="0.3">
      <c r="A345" t="s">
        <v>31</v>
      </c>
      <c r="B345" s="3">
        <v>46174</v>
      </c>
      <c r="C345">
        <v>1463549</v>
      </c>
      <c r="D345">
        <v>926234</v>
      </c>
      <c r="E345">
        <v>135064</v>
      </c>
      <c r="F345">
        <v>129916</v>
      </c>
      <c r="G345">
        <v>65899</v>
      </c>
      <c r="H345">
        <v>50294</v>
      </c>
      <c r="I345">
        <v>15605</v>
      </c>
      <c r="J345">
        <v>11658</v>
      </c>
      <c r="K345" s="11">
        <f t="shared" si="31"/>
        <v>8.9734905631331019E-2</v>
      </c>
      <c r="L345">
        <v>5196</v>
      </c>
      <c r="M345" s="11">
        <f t="shared" si="29"/>
        <v>0.44570252187339165</v>
      </c>
      <c r="N345">
        <v>6462</v>
      </c>
      <c r="O345" s="13">
        <f t="shared" si="30"/>
        <v>0.55429747812660835</v>
      </c>
      <c r="P345">
        <v>52359</v>
      </c>
    </row>
    <row r="346" spans="1:16" x14ac:dyDescent="0.3">
      <c r="A346" t="s">
        <v>32</v>
      </c>
      <c r="B346" s="3">
        <v>46174</v>
      </c>
      <c r="C346">
        <v>630932</v>
      </c>
      <c r="D346">
        <v>369108</v>
      </c>
      <c r="E346">
        <v>32329</v>
      </c>
      <c r="F346">
        <v>57868</v>
      </c>
      <c r="G346">
        <v>47815</v>
      </c>
      <c r="H346">
        <v>39089</v>
      </c>
      <c r="I346">
        <v>8726</v>
      </c>
      <c r="J346">
        <v>9155</v>
      </c>
      <c r="K346" s="11">
        <f t="shared" si="31"/>
        <v>0.15820488007188774</v>
      </c>
      <c r="L346">
        <v>1047</v>
      </c>
      <c r="M346" s="11">
        <f t="shared" si="29"/>
        <v>0.11436373566357182</v>
      </c>
      <c r="N346">
        <v>8108</v>
      </c>
      <c r="O346" s="13">
        <f t="shared" si="30"/>
        <v>0.88563626433642817</v>
      </c>
      <c r="P346">
        <v>898</v>
      </c>
    </row>
    <row r="347" spans="1:16" x14ac:dyDescent="0.3">
      <c r="A347" t="s">
        <v>33</v>
      </c>
      <c r="B347" s="3">
        <v>46174</v>
      </c>
      <c r="C347">
        <v>667141</v>
      </c>
      <c r="D347">
        <v>402285</v>
      </c>
      <c r="E347">
        <v>58164</v>
      </c>
      <c r="F347">
        <v>58278</v>
      </c>
      <c r="G347">
        <v>48159</v>
      </c>
      <c r="H347">
        <v>46774</v>
      </c>
      <c r="I347">
        <v>1385</v>
      </c>
      <c r="J347">
        <v>8695</v>
      </c>
      <c r="K347" s="11">
        <f t="shared" si="31"/>
        <v>0.14919866845121657</v>
      </c>
      <c r="L347">
        <v>1242</v>
      </c>
      <c r="M347" s="11">
        <f t="shared" si="29"/>
        <v>0.14284071305347901</v>
      </c>
      <c r="N347">
        <v>7453</v>
      </c>
      <c r="O347" s="13">
        <f t="shared" si="30"/>
        <v>0.85715928694652099</v>
      </c>
      <c r="P347">
        <v>1424</v>
      </c>
    </row>
    <row r="348" spans="1:16" x14ac:dyDescent="0.3">
      <c r="A348" t="s">
        <v>34</v>
      </c>
      <c r="B348" s="3">
        <v>46174</v>
      </c>
      <c r="C348">
        <v>5725893</v>
      </c>
      <c r="D348">
        <v>3953146</v>
      </c>
      <c r="E348">
        <v>389059</v>
      </c>
      <c r="F348">
        <v>485612</v>
      </c>
      <c r="G348">
        <v>329935</v>
      </c>
      <c r="H348">
        <v>148663</v>
      </c>
      <c r="I348">
        <v>181272</v>
      </c>
      <c r="J348">
        <v>148661</v>
      </c>
      <c r="K348" s="11">
        <f t="shared" si="31"/>
        <v>0.30613123234186962</v>
      </c>
      <c r="L348">
        <v>55695</v>
      </c>
      <c r="M348" s="11">
        <f t="shared" si="29"/>
        <v>0.3746443250079039</v>
      </c>
      <c r="N348">
        <v>92966</v>
      </c>
      <c r="O348" s="13">
        <f t="shared" si="30"/>
        <v>0.6253556749920961</v>
      </c>
      <c r="P348">
        <v>7016</v>
      </c>
    </row>
    <row r="349" spans="1:16" x14ac:dyDescent="0.3">
      <c r="A349" t="s">
        <v>35</v>
      </c>
      <c r="B349" s="3">
        <v>46174</v>
      </c>
      <c r="C349">
        <v>2371666</v>
      </c>
      <c r="D349">
        <v>1493864</v>
      </c>
      <c r="E349">
        <v>241437</v>
      </c>
      <c r="F349">
        <v>224649</v>
      </c>
      <c r="G349">
        <v>148341</v>
      </c>
      <c r="H349">
        <v>116326</v>
      </c>
      <c r="I349">
        <v>32015</v>
      </c>
      <c r="J349">
        <v>47646</v>
      </c>
      <c r="K349" s="11">
        <f t="shared" si="31"/>
        <v>0.21209086174432115</v>
      </c>
      <c r="L349">
        <v>4851</v>
      </c>
      <c r="M349" s="11">
        <f t="shared" si="29"/>
        <v>0.10181337363052512</v>
      </c>
      <c r="N349">
        <v>42795</v>
      </c>
      <c r="O349" s="13">
        <f t="shared" si="30"/>
        <v>0.89818662636947488</v>
      </c>
      <c r="P349">
        <v>28662</v>
      </c>
    </row>
    <row r="350" spans="1:16" x14ac:dyDescent="0.3">
      <c r="A350" t="s">
        <v>36</v>
      </c>
      <c r="B350" s="3">
        <v>46174</v>
      </c>
      <c r="C350">
        <v>906485</v>
      </c>
      <c r="D350">
        <v>490215</v>
      </c>
      <c r="E350">
        <v>76780</v>
      </c>
      <c r="F350">
        <v>70775</v>
      </c>
      <c r="G350">
        <v>43772</v>
      </c>
      <c r="H350">
        <v>32095</v>
      </c>
      <c r="I350">
        <v>11677</v>
      </c>
      <c r="J350">
        <v>23676</v>
      </c>
      <c r="K350" s="11">
        <f t="shared" si="31"/>
        <v>0.33452490286117981</v>
      </c>
      <c r="L350">
        <v>3989</v>
      </c>
      <c r="M350" s="11">
        <f t="shared" si="29"/>
        <v>0.1684828518330799</v>
      </c>
      <c r="N350">
        <v>19687</v>
      </c>
      <c r="O350" s="13">
        <f t="shared" si="30"/>
        <v>0.83151714816692013</v>
      </c>
      <c r="P350">
        <v>3327</v>
      </c>
    </row>
    <row r="351" spans="1:16" x14ac:dyDescent="0.3">
      <c r="A351" t="s">
        <v>37</v>
      </c>
      <c r="B351" s="3">
        <v>46174</v>
      </c>
      <c r="C351">
        <v>1085802</v>
      </c>
      <c r="D351">
        <v>801926</v>
      </c>
      <c r="E351">
        <v>71073</v>
      </c>
      <c r="F351">
        <v>69711</v>
      </c>
      <c r="G351">
        <v>56588</v>
      </c>
      <c r="H351">
        <v>49326</v>
      </c>
      <c r="I351">
        <v>7262</v>
      </c>
      <c r="J351">
        <v>12907</v>
      </c>
      <c r="K351" s="11">
        <f t="shared" si="31"/>
        <v>0.18515011978023554</v>
      </c>
      <c r="L351">
        <v>3213</v>
      </c>
      <c r="M351" s="11">
        <f t="shared" si="29"/>
        <v>0.24893468660416829</v>
      </c>
      <c r="N351">
        <v>9694</v>
      </c>
      <c r="O351" s="13">
        <f t="shared" si="30"/>
        <v>0.75106531339583171</v>
      </c>
      <c r="P351">
        <v>216</v>
      </c>
    </row>
    <row r="352" spans="1:16" x14ac:dyDescent="0.3">
      <c r="A352" t="s">
        <v>38</v>
      </c>
      <c r="B352" s="3">
        <v>46174</v>
      </c>
      <c r="C352">
        <v>2679464</v>
      </c>
      <c r="D352">
        <v>1564955</v>
      </c>
      <c r="E352">
        <v>208151</v>
      </c>
      <c r="F352">
        <v>200071</v>
      </c>
      <c r="G352">
        <v>123365</v>
      </c>
      <c r="H352">
        <v>42253</v>
      </c>
      <c r="I352">
        <v>81112</v>
      </c>
      <c r="J352">
        <v>31696</v>
      </c>
      <c r="K352" s="11">
        <f t="shared" si="31"/>
        <v>0.15842375956535429</v>
      </c>
      <c r="L352">
        <v>17649</v>
      </c>
      <c r="M352" s="11">
        <f t="shared" si="29"/>
        <v>0.55682104997476023</v>
      </c>
      <c r="N352">
        <v>14047</v>
      </c>
      <c r="O352" s="13">
        <f t="shared" si="30"/>
        <v>0.44317895002523977</v>
      </c>
      <c r="P352">
        <v>45010</v>
      </c>
    </row>
    <row r="353" spans="1:16" x14ac:dyDescent="0.3">
      <c r="A353" t="s">
        <v>39</v>
      </c>
      <c r="B353" s="3">
        <v>46174</v>
      </c>
      <c r="C353">
        <v>250294</v>
      </c>
      <c r="D353">
        <v>173563</v>
      </c>
      <c r="E353">
        <v>19805</v>
      </c>
      <c r="F353">
        <v>22175</v>
      </c>
      <c r="G353">
        <v>19021</v>
      </c>
      <c r="H353">
        <v>16960</v>
      </c>
      <c r="I353">
        <v>2061</v>
      </c>
      <c r="J353">
        <v>3119</v>
      </c>
      <c r="K353" s="11">
        <f t="shared" si="31"/>
        <v>0.14065388951521984</v>
      </c>
      <c r="L353">
        <v>1107</v>
      </c>
      <c r="M353" s="11">
        <f t="shared" si="29"/>
        <v>0.35492144918243029</v>
      </c>
      <c r="N353">
        <v>2012</v>
      </c>
      <c r="O353" s="13">
        <f t="shared" si="30"/>
        <v>0.64507855081756971</v>
      </c>
      <c r="P353">
        <v>35</v>
      </c>
    </row>
    <row r="354" spans="1:16" x14ac:dyDescent="0.3">
      <c r="A354" t="s">
        <v>40</v>
      </c>
      <c r="B354" s="3">
        <v>46174</v>
      </c>
      <c r="C354">
        <v>846524</v>
      </c>
      <c r="D354">
        <v>362404</v>
      </c>
      <c r="E354">
        <v>80048</v>
      </c>
      <c r="F354">
        <v>78480</v>
      </c>
      <c r="G354">
        <v>53406</v>
      </c>
      <c r="H354">
        <v>50350</v>
      </c>
      <c r="I354">
        <v>3056</v>
      </c>
      <c r="J354">
        <v>22443</v>
      </c>
      <c r="K354" s="11">
        <f t="shared" si="31"/>
        <v>0.28597094801223244</v>
      </c>
      <c r="L354">
        <v>18816</v>
      </c>
      <c r="M354" s="11">
        <f t="shared" si="29"/>
        <v>0.83839058949338319</v>
      </c>
      <c r="N354">
        <v>3627</v>
      </c>
      <c r="O354" s="13">
        <f t="shared" si="30"/>
        <v>0.16160941050661676</v>
      </c>
      <c r="P354">
        <v>2631</v>
      </c>
    </row>
    <row r="355" spans="1:16" x14ac:dyDescent="0.3">
      <c r="A355" t="s">
        <v>41</v>
      </c>
      <c r="B355" s="3">
        <v>46174</v>
      </c>
      <c r="C355">
        <v>124001</v>
      </c>
      <c r="D355">
        <v>62583</v>
      </c>
      <c r="E355">
        <v>11416</v>
      </c>
      <c r="F355">
        <v>13355</v>
      </c>
      <c r="G355">
        <v>11009</v>
      </c>
      <c r="H355">
        <v>8471</v>
      </c>
      <c r="I355">
        <v>2538</v>
      </c>
      <c r="J355">
        <v>2158</v>
      </c>
      <c r="K355" s="11">
        <f t="shared" si="31"/>
        <v>0.16158742044178209</v>
      </c>
      <c r="L355">
        <v>410</v>
      </c>
      <c r="M355" s="11">
        <f t="shared" si="29"/>
        <v>0.18999073215940684</v>
      </c>
      <c r="N355">
        <v>1748</v>
      </c>
      <c r="O355" s="13">
        <f t="shared" si="30"/>
        <v>0.81000926784059313</v>
      </c>
      <c r="P355">
        <v>188</v>
      </c>
    </row>
    <row r="356" spans="1:16" x14ac:dyDescent="0.3">
      <c r="A356" t="s">
        <v>42</v>
      </c>
      <c r="B356" s="3">
        <v>46174</v>
      </c>
      <c r="C356">
        <v>1199546</v>
      </c>
      <c r="D356">
        <v>563216</v>
      </c>
      <c r="E356">
        <v>123726</v>
      </c>
      <c r="F356">
        <v>82604</v>
      </c>
      <c r="G356">
        <v>72918</v>
      </c>
      <c r="H356">
        <v>54847</v>
      </c>
      <c r="I356">
        <v>18071</v>
      </c>
      <c r="J356">
        <v>9484</v>
      </c>
      <c r="K356" s="11">
        <f t="shared" si="31"/>
        <v>0.11481284199312382</v>
      </c>
      <c r="L356">
        <v>2502</v>
      </c>
      <c r="M356" s="11">
        <f t="shared" si="29"/>
        <v>0.2638127372416702</v>
      </c>
      <c r="N356">
        <v>6982</v>
      </c>
      <c r="O356" s="13">
        <f t="shared" si="30"/>
        <v>0.7361872627583298</v>
      </c>
      <c r="P356">
        <v>202</v>
      </c>
    </row>
    <row r="357" spans="1:16" x14ac:dyDescent="0.3">
      <c r="A357" t="s">
        <v>43</v>
      </c>
      <c r="B357" s="3">
        <v>46174</v>
      </c>
      <c r="C357">
        <v>3589392</v>
      </c>
      <c r="D357">
        <v>955806</v>
      </c>
      <c r="E357">
        <v>334625</v>
      </c>
      <c r="F357">
        <v>252853</v>
      </c>
      <c r="G357">
        <v>150937</v>
      </c>
      <c r="H357">
        <v>23752</v>
      </c>
      <c r="I357">
        <v>127185</v>
      </c>
      <c r="J357">
        <v>84190</v>
      </c>
      <c r="K357" s="11">
        <f t="shared" si="31"/>
        <v>0.33296025754094277</v>
      </c>
      <c r="L357">
        <v>24900</v>
      </c>
      <c r="M357" s="11">
        <f t="shared" si="29"/>
        <v>0.29575959140040387</v>
      </c>
      <c r="N357">
        <v>59290</v>
      </c>
      <c r="O357" s="13">
        <f t="shared" si="30"/>
        <v>0.70424040859959613</v>
      </c>
      <c r="P357">
        <v>17726</v>
      </c>
    </row>
    <row r="358" spans="1:16" x14ac:dyDescent="0.3">
      <c r="A358" t="s">
        <v>44</v>
      </c>
      <c r="B358" s="3">
        <v>46174</v>
      </c>
      <c r="C358">
        <v>288065</v>
      </c>
      <c r="D358">
        <v>161881</v>
      </c>
      <c r="E358">
        <v>25060</v>
      </c>
      <c r="F358">
        <v>28157</v>
      </c>
      <c r="G358">
        <v>15327</v>
      </c>
      <c r="H358">
        <v>9851</v>
      </c>
      <c r="I358">
        <v>5476</v>
      </c>
      <c r="J358">
        <v>8131</v>
      </c>
      <c r="K358" s="11">
        <f t="shared" si="31"/>
        <v>0.28877366196682885</v>
      </c>
      <c r="L358">
        <v>860</v>
      </c>
      <c r="M358" s="11">
        <f t="shared" si="29"/>
        <v>0.1057680482105522</v>
      </c>
      <c r="N358">
        <v>7271</v>
      </c>
      <c r="O358" s="13">
        <f t="shared" si="30"/>
        <v>0.89423195178944781</v>
      </c>
      <c r="P358">
        <v>4699</v>
      </c>
    </row>
    <row r="359" spans="1:16" x14ac:dyDescent="0.3">
      <c r="A359" t="s">
        <v>45</v>
      </c>
      <c r="B359" s="3">
        <v>46174</v>
      </c>
      <c r="C359">
        <v>1449118</v>
      </c>
      <c r="D359">
        <v>854859</v>
      </c>
      <c r="E359">
        <v>133466</v>
      </c>
      <c r="F359">
        <v>114317</v>
      </c>
      <c r="G359">
        <v>84529</v>
      </c>
      <c r="H359">
        <v>50442</v>
      </c>
      <c r="I359">
        <v>34087</v>
      </c>
      <c r="J359">
        <v>15189</v>
      </c>
      <c r="K359" s="11">
        <f t="shared" si="31"/>
        <v>0.13286737755539421</v>
      </c>
      <c r="L359">
        <v>472</v>
      </c>
      <c r="M359" s="11">
        <f t="shared" si="29"/>
        <v>3.1075120152742115E-2</v>
      </c>
      <c r="N359">
        <v>14717</v>
      </c>
      <c r="O359" s="13">
        <f t="shared" si="30"/>
        <v>0.96892487984725784</v>
      </c>
      <c r="P359">
        <v>14599</v>
      </c>
    </row>
    <row r="360" spans="1:16" x14ac:dyDescent="0.3">
      <c r="A360" t="s">
        <v>46</v>
      </c>
      <c r="B360" s="3">
        <v>46174</v>
      </c>
      <c r="C360">
        <v>139930</v>
      </c>
      <c r="D360">
        <v>89262</v>
      </c>
      <c r="E360">
        <v>10016</v>
      </c>
      <c r="F360">
        <v>9606</v>
      </c>
      <c r="G360">
        <v>7245</v>
      </c>
      <c r="H360">
        <v>6256</v>
      </c>
      <c r="I360">
        <v>989</v>
      </c>
      <c r="J360">
        <v>1387</v>
      </c>
      <c r="K360" s="11">
        <f t="shared" si="31"/>
        <v>0.14438892358942329</v>
      </c>
      <c r="L360">
        <v>247</v>
      </c>
      <c r="M360" s="11">
        <f t="shared" si="29"/>
        <v>0.17808219178082191</v>
      </c>
      <c r="N360">
        <v>1140</v>
      </c>
      <c r="O360" s="13">
        <f t="shared" si="30"/>
        <v>0.82191780821917804</v>
      </c>
      <c r="P360">
        <v>974</v>
      </c>
    </row>
    <row r="361" spans="1:16" x14ac:dyDescent="0.3">
      <c r="A361" t="s">
        <v>47</v>
      </c>
      <c r="B361" s="3">
        <v>46174</v>
      </c>
      <c r="C361">
        <v>1718507</v>
      </c>
      <c r="D361">
        <v>970103</v>
      </c>
      <c r="E361">
        <v>148709</v>
      </c>
      <c r="F361">
        <v>122950</v>
      </c>
      <c r="G361">
        <v>105373</v>
      </c>
      <c r="H361">
        <v>98827</v>
      </c>
      <c r="I361">
        <v>6546</v>
      </c>
      <c r="J361">
        <v>15759</v>
      </c>
      <c r="K361" s="11">
        <f t="shared" si="31"/>
        <v>0.12817405449369662</v>
      </c>
      <c r="L361">
        <v>2129</v>
      </c>
      <c r="M361" s="11">
        <f t="shared" si="29"/>
        <v>0.13509740465765593</v>
      </c>
      <c r="N361">
        <v>13630</v>
      </c>
      <c r="O361" s="13">
        <f t="shared" si="30"/>
        <v>0.86490259534234404</v>
      </c>
      <c r="P361">
        <v>1818</v>
      </c>
    </row>
    <row r="362" spans="1:16" x14ac:dyDescent="0.3">
      <c r="A362" t="s">
        <v>48</v>
      </c>
      <c r="B362" s="3">
        <v>46174</v>
      </c>
      <c r="C362">
        <v>1010403</v>
      </c>
      <c r="D362">
        <v>579241</v>
      </c>
      <c r="E362">
        <v>65241</v>
      </c>
      <c r="F362">
        <v>71150</v>
      </c>
      <c r="G362">
        <v>51165</v>
      </c>
      <c r="H362">
        <v>32322</v>
      </c>
      <c r="I362">
        <v>18843</v>
      </c>
      <c r="J362">
        <v>15737</v>
      </c>
      <c r="K362" s="11">
        <f t="shared" si="31"/>
        <v>0.22118060435699227</v>
      </c>
      <c r="L362">
        <v>6339</v>
      </c>
      <c r="M362" s="11">
        <f t="shared" si="29"/>
        <v>0.40280866747156385</v>
      </c>
      <c r="N362">
        <v>9398</v>
      </c>
      <c r="O362" s="13">
        <f t="shared" si="30"/>
        <v>0.59719133252843615</v>
      </c>
      <c r="P362">
        <v>4248</v>
      </c>
    </row>
    <row r="363" spans="1:16" x14ac:dyDescent="0.3">
      <c r="A363" t="s">
        <v>49</v>
      </c>
      <c r="B363" s="3">
        <v>46174</v>
      </c>
      <c r="C363">
        <v>445428</v>
      </c>
      <c r="D363">
        <v>293276</v>
      </c>
      <c r="E363">
        <v>34778</v>
      </c>
      <c r="F363">
        <v>28388</v>
      </c>
      <c r="G363">
        <v>22441</v>
      </c>
      <c r="H363">
        <v>17237</v>
      </c>
      <c r="I363">
        <v>5204</v>
      </c>
      <c r="J363">
        <v>5673</v>
      </c>
      <c r="K363" s="11">
        <f t="shared" si="31"/>
        <v>0.19983795970128224</v>
      </c>
      <c r="L363">
        <v>1241</v>
      </c>
      <c r="M363" s="11">
        <f t="shared" si="29"/>
        <v>0.21875550854926845</v>
      </c>
      <c r="N363">
        <v>4432</v>
      </c>
      <c r="O363" s="13">
        <f t="shared" si="30"/>
        <v>0.78124449145073149</v>
      </c>
      <c r="P363">
        <v>274</v>
      </c>
    </row>
    <row r="364" spans="1:16" x14ac:dyDescent="0.3">
      <c r="A364" t="s">
        <v>50</v>
      </c>
      <c r="B364" s="3">
        <v>46174</v>
      </c>
      <c r="C364">
        <v>53183</v>
      </c>
      <c r="D364">
        <v>19305</v>
      </c>
      <c r="E364">
        <v>4757</v>
      </c>
      <c r="F364">
        <v>5145</v>
      </c>
      <c r="G364">
        <v>2940</v>
      </c>
      <c r="H364">
        <v>1909</v>
      </c>
      <c r="I364">
        <v>1031</v>
      </c>
      <c r="J364">
        <v>1253</v>
      </c>
      <c r="K364" s="11">
        <f t="shared" si="31"/>
        <v>0.24353741496598638</v>
      </c>
      <c r="L364">
        <v>252</v>
      </c>
      <c r="M364" s="11">
        <f>L364/J364</f>
        <v>0.2011173184357542</v>
      </c>
      <c r="N364">
        <v>1001</v>
      </c>
      <c r="O364" s="13">
        <f t="shared" si="30"/>
        <v>0.7988826815642458</v>
      </c>
      <c r="P364">
        <v>952</v>
      </c>
    </row>
    <row r="365" spans="1:16" s="1" customFormat="1" x14ac:dyDescent="0.3">
      <c r="A365" s="1" t="s">
        <v>63</v>
      </c>
      <c r="B365" s="8">
        <v>46174</v>
      </c>
      <c r="C365" s="1">
        <f>SUM(C314:C364)</f>
        <v>65969381</v>
      </c>
      <c r="D365" s="1">
        <f>SUM(D314:D364)</f>
        <v>38123755</v>
      </c>
      <c r="E365" s="1">
        <f>SUM(E314:E364)</f>
        <v>5413078</v>
      </c>
      <c r="F365" s="1">
        <f>SUM(F314:F364)</f>
        <v>5400279</v>
      </c>
      <c r="G365" s="1">
        <f>SUM(G314:G364)</f>
        <v>3659660</v>
      </c>
      <c r="H365" s="1">
        <f>SUM(H314:H364)</f>
        <v>2541079</v>
      </c>
      <c r="I365" s="1">
        <f>SUM(I314:I364)</f>
        <v>1118581</v>
      </c>
      <c r="J365" s="1">
        <f>SUM(J314:J364)</f>
        <v>1079650</v>
      </c>
      <c r="K365" s="9">
        <f>J365/F365</f>
        <v>0.19992485573430557</v>
      </c>
      <c r="L365" s="1">
        <v>289986</v>
      </c>
      <c r="M365" s="9">
        <f t="shared" si="29"/>
        <v>0.26859259945352659</v>
      </c>
      <c r="N365" s="1">
        <f>SUM(N314:N364)</f>
        <v>789664</v>
      </c>
      <c r="O365" s="13">
        <f>N365/J365</f>
        <v>0.73140740054647335</v>
      </c>
      <c r="P365" s="1">
        <f>SUM(P314:P364)</f>
        <v>660969</v>
      </c>
    </row>
  </sheetData>
  <autoFilter ref="A1:P261" xr:uid="{FB264A2A-D604-4430-8789-DEB8BBE451DA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13B8-E413-4116-A55A-3857C35DED52}">
  <dimension ref="A1:C53"/>
  <sheetViews>
    <sheetView workbookViewId="0">
      <selection sqref="A1:C1"/>
    </sheetView>
  </sheetViews>
  <sheetFormatPr defaultRowHeight="14.4" x14ac:dyDescent="0.3"/>
  <cols>
    <col min="1" max="1" width="17.88671875" bestFit="1" customWidth="1"/>
    <col min="2" max="2" width="15" bestFit="1" customWidth="1"/>
    <col min="3" max="3" width="23.33203125" bestFit="1" customWidth="1"/>
  </cols>
  <sheetData>
    <row r="1" spans="1:3" s="1" customFormat="1" x14ac:dyDescent="0.3">
      <c r="A1" s="1" t="s">
        <v>51</v>
      </c>
      <c r="B1" s="1" t="s">
        <v>52</v>
      </c>
      <c r="C1" s="1" t="s">
        <v>53</v>
      </c>
    </row>
    <row r="2" spans="1:3" x14ac:dyDescent="0.3">
      <c r="A2" t="s">
        <v>0</v>
      </c>
      <c r="B2" s="3">
        <v>44986</v>
      </c>
      <c r="C2">
        <v>253960</v>
      </c>
    </row>
    <row r="3" spans="1:3" x14ac:dyDescent="0.3">
      <c r="A3" t="s">
        <v>1</v>
      </c>
      <c r="B3" s="3">
        <v>44986</v>
      </c>
      <c r="C3">
        <v>991468</v>
      </c>
    </row>
    <row r="4" spans="1:3" x14ac:dyDescent="0.3">
      <c r="A4" t="s">
        <v>2</v>
      </c>
      <c r="B4" s="3">
        <v>44986</v>
      </c>
      <c r="C4">
        <v>1010510</v>
      </c>
    </row>
    <row r="5" spans="1:3" x14ac:dyDescent="0.3">
      <c r="A5" t="s">
        <v>3</v>
      </c>
      <c r="B5" s="3">
        <v>44986</v>
      </c>
      <c r="C5">
        <v>2184898</v>
      </c>
    </row>
    <row r="6" spans="1:3" x14ac:dyDescent="0.3">
      <c r="A6" t="s">
        <v>4</v>
      </c>
      <c r="B6" s="3">
        <v>44986</v>
      </c>
      <c r="C6">
        <v>12931478</v>
      </c>
    </row>
    <row r="7" spans="1:3" x14ac:dyDescent="0.3">
      <c r="A7" t="s">
        <v>5</v>
      </c>
      <c r="B7" s="3">
        <v>44986</v>
      </c>
      <c r="C7">
        <v>1591111</v>
      </c>
    </row>
    <row r="8" spans="1:3" x14ac:dyDescent="0.3">
      <c r="A8" t="s">
        <v>6</v>
      </c>
      <c r="B8" s="3">
        <v>44986</v>
      </c>
      <c r="C8">
        <v>1005040</v>
      </c>
    </row>
    <row r="9" spans="1:3" x14ac:dyDescent="0.3">
      <c r="A9" t="s">
        <v>7</v>
      </c>
      <c r="B9" s="3">
        <v>44986</v>
      </c>
      <c r="C9">
        <v>278836</v>
      </c>
    </row>
    <row r="10" spans="1:3" x14ac:dyDescent="0.3">
      <c r="A10" t="s">
        <v>8</v>
      </c>
      <c r="B10" s="3">
        <v>44986</v>
      </c>
      <c r="C10">
        <v>300281</v>
      </c>
    </row>
    <row r="11" spans="1:3" x14ac:dyDescent="0.3">
      <c r="A11" t="s">
        <v>9</v>
      </c>
      <c r="B11" s="3">
        <v>44986</v>
      </c>
      <c r="C11">
        <v>5000278</v>
      </c>
    </row>
    <row r="12" spans="1:3" x14ac:dyDescent="0.3">
      <c r="A12" t="s">
        <v>10</v>
      </c>
      <c r="B12" s="3">
        <v>44986</v>
      </c>
      <c r="C12">
        <v>2167942</v>
      </c>
    </row>
    <row r="13" spans="1:3" x14ac:dyDescent="0.3">
      <c r="A13" t="s">
        <v>11</v>
      </c>
      <c r="B13" s="3">
        <v>44986</v>
      </c>
      <c r="C13">
        <v>441198</v>
      </c>
    </row>
    <row r="14" spans="1:3" x14ac:dyDescent="0.3">
      <c r="A14" t="s">
        <v>12</v>
      </c>
      <c r="B14" s="3">
        <v>44986</v>
      </c>
      <c r="C14">
        <v>790181</v>
      </c>
    </row>
    <row r="15" spans="1:3" x14ac:dyDescent="0.3">
      <c r="A15" t="s">
        <v>13</v>
      </c>
      <c r="B15" s="3">
        <v>44986</v>
      </c>
      <c r="C15">
        <v>418774</v>
      </c>
    </row>
    <row r="16" spans="1:3" x14ac:dyDescent="0.3">
      <c r="A16" t="s">
        <v>14</v>
      </c>
      <c r="B16" s="3">
        <v>44986</v>
      </c>
      <c r="C16">
        <v>3471258</v>
      </c>
    </row>
    <row r="17" spans="1:3" x14ac:dyDescent="0.3">
      <c r="A17" t="s">
        <v>15</v>
      </c>
      <c r="B17" s="3">
        <v>44986</v>
      </c>
      <c r="C17">
        <v>1904700</v>
      </c>
    </row>
    <row r="18" spans="1:3" x14ac:dyDescent="0.3">
      <c r="A18" t="s">
        <v>16</v>
      </c>
      <c r="B18" s="3">
        <v>44986</v>
      </c>
      <c r="C18">
        <v>438542</v>
      </c>
    </row>
    <row r="19" spans="1:3" x14ac:dyDescent="0.3">
      <c r="A19" t="s">
        <v>17</v>
      </c>
      <c r="B19" s="3">
        <v>44986</v>
      </c>
      <c r="C19">
        <v>1494768</v>
      </c>
    </row>
    <row r="20" spans="1:3" x14ac:dyDescent="0.3">
      <c r="A20" t="s">
        <v>18</v>
      </c>
      <c r="B20" s="3">
        <v>44986</v>
      </c>
      <c r="C20">
        <v>1724564</v>
      </c>
    </row>
    <row r="21" spans="1:3" x14ac:dyDescent="0.3">
      <c r="A21" t="s">
        <v>19</v>
      </c>
      <c r="B21" s="3">
        <v>44986</v>
      </c>
      <c r="C21">
        <v>1803264</v>
      </c>
    </row>
    <row r="22" spans="1:3" x14ac:dyDescent="0.3">
      <c r="A22" t="s">
        <v>20</v>
      </c>
      <c r="B22" s="3">
        <v>44986</v>
      </c>
      <c r="C22">
        <v>1538624</v>
      </c>
    </row>
    <row r="23" spans="1:3" x14ac:dyDescent="0.3">
      <c r="A23" t="s">
        <v>21</v>
      </c>
      <c r="B23" s="3">
        <v>44986</v>
      </c>
      <c r="C23">
        <v>358877</v>
      </c>
    </row>
    <row r="24" spans="1:3" x14ac:dyDescent="0.3">
      <c r="A24" t="s">
        <v>22</v>
      </c>
      <c r="B24" s="3">
        <v>44986</v>
      </c>
      <c r="C24">
        <v>2929863</v>
      </c>
    </row>
    <row r="25" spans="1:3" x14ac:dyDescent="0.3">
      <c r="A25" t="s">
        <v>23</v>
      </c>
      <c r="B25" s="3">
        <v>44986</v>
      </c>
      <c r="C25">
        <v>1393030</v>
      </c>
    </row>
    <row r="26" spans="1:3" x14ac:dyDescent="0.3">
      <c r="A26" t="s">
        <v>24</v>
      </c>
      <c r="B26" s="3">
        <v>44986</v>
      </c>
      <c r="C26">
        <v>1464197</v>
      </c>
    </row>
    <row r="27" spans="1:3" x14ac:dyDescent="0.3">
      <c r="A27" t="s">
        <v>25</v>
      </c>
      <c r="B27" s="3">
        <v>44986</v>
      </c>
      <c r="C27">
        <v>702289</v>
      </c>
    </row>
    <row r="28" spans="1:3" x14ac:dyDescent="0.3">
      <c r="A28" t="s">
        <v>26</v>
      </c>
      <c r="B28" s="3">
        <v>44986</v>
      </c>
      <c r="C28">
        <v>299724</v>
      </c>
    </row>
    <row r="29" spans="1:3" x14ac:dyDescent="0.3">
      <c r="A29" t="s">
        <v>27</v>
      </c>
      <c r="B29" s="3">
        <v>44986</v>
      </c>
      <c r="C29">
        <v>2137561</v>
      </c>
    </row>
    <row r="30" spans="1:3" x14ac:dyDescent="0.3">
      <c r="A30" t="s">
        <v>28</v>
      </c>
      <c r="B30" s="3">
        <v>44986</v>
      </c>
      <c r="C30">
        <v>129430</v>
      </c>
    </row>
    <row r="31" spans="1:3" x14ac:dyDescent="0.3">
      <c r="A31" t="s">
        <v>29</v>
      </c>
      <c r="B31" s="3">
        <v>44986</v>
      </c>
      <c r="C31">
        <v>352494</v>
      </c>
    </row>
    <row r="32" spans="1:3" x14ac:dyDescent="0.3">
      <c r="A32" t="s">
        <v>30</v>
      </c>
      <c r="B32" s="3">
        <v>44986</v>
      </c>
      <c r="C32">
        <v>227977</v>
      </c>
    </row>
    <row r="33" spans="1:3" x14ac:dyDescent="0.3">
      <c r="A33" t="s">
        <v>31</v>
      </c>
      <c r="B33" s="3">
        <v>44986</v>
      </c>
      <c r="C33">
        <v>1962324</v>
      </c>
    </row>
    <row r="34" spans="1:3" x14ac:dyDescent="0.3">
      <c r="A34" t="s">
        <v>32</v>
      </c>
      <c r="B34" s="3">
        <v>44986</v>
      </c>
      <c r="C34">
        <v>836594</v>
      </c>
    </row>
    <row r="35" spans="1:3" x14ac:dyDescent="0.3">
      <c r="A35" t="s">
        <v>33</v>
      </c>
      <c r="B35" s="3">
        <v>44986</v>
      </c>
      <c r="C35">
        <v>840149</v>
      </c>
    </row>
    <row r="36" spans="1:3" x14ac:dyDescent="0.3">
      <c r="A36" t="s">
        <v>34</v>
      </c>
      <c r="B36" s="3">
        <v>44986</v>
      </c>
      <c r="C36">
        <v>6962065</v>
      </c>
    </row>
    <row r="37" spans="1:3" x14ac:dyDescent="0.3">
      <c r="A37" t="s">
        <v>35</v>
      </c>
      <c r="B37" s="3">
        <v>44986</v>
      </c>
      <c r="C37">
        <v>3167340</v>
      </c>
    </row>
    <row r="38" spans="1:3" x14ac:dyDescent="0.3">
      <c r="A38" t="s">
        <v>36</v>
      </c>
      <c r="B38" s="3">
        <v>44986</v>
      </c>
      <c r="C38">
        <v>1183657</v>
      </c>
    </row>
    <row r="39" spans="1:3" x14ac:dyDescent="0.3">
      <c r="A39" t="s">
        <v>37</v>
      </c>
      <c r="B39" s="3">
        <v>44986</v>
      </c>
      <c r="C39">
        <v>1213001</v>
      </c>
    </row>
    <row r="40" spans="1:3" x14ac:dyDescent="0.3">
      <c r="A40" t="s">
        <v>38</v>
      </c>
      <c r="B40" s="3">
        <v>44986</v>
      </c>
      <c r="C40">
        <v>3462649</v>
      </c>
    </row>
    <row r="41" spans="1:3" x14ac:dyDescent="0.3">
      <c r="A41" t="s">
        <v>39</v>
      </c>
      <c r="B41" s="3">
        <v>44986</v>
      </c>
      <c r="C41">
        <v>332528</v>
      </c>
    </row>
    <row r="42" spans="1:3" x14ac:dyDescent="0.3">
      <c r="A42" t="s">
        <v>40</v>
      </c>
      <c r="B42" s="3">
        <v>44986</v>
      </c>
      <c r="C42">
        <v>1201865</v>
      </c>
    </row>
    <row r="43" spans="1:3" x14ac:dyDescent="0.3">
      <c r="A43" t="s">
        <v>41</v>
      </c>
      <c r="B43" s="3">
        <v>44986</v>
      </c>
      <c r="C43">
        <v>127505</v>
      </c>
    </row>
    <row r="44" spans="1:3" x14ac:dyDescent="0.3">
      <c r="A44" t="s">
        <v>42</v>
      </c>
      <c r="B44" s="3">
        <v>44986</v>
      </c>
      <c r="C44">
        <v>1650389</v>
      </c>
    </row>
    <row r="45" spans="1:3" x14ac:dyDescent="0.3">
      <c r="A45" t="s">
        <v>43</v>
      </c>
      <c r="B45" s="3">
        <v>44986</v>
      </c>
      <c r="C45">
        <v>5640998</v>
      </c>
    </row>
    <row r="46" spans="1:3" x14ac:dyDescent="0.3">
      <c r="A46" t="s">
        <v>44</v>
      </c>
      <c r="B46" s="3">
        <v>44986</v>
      </c>
      <c r="C46">
        <v>445810</v>
      </c>
    </row>
    <row r="47" spans="1:3" x14ac:dyDescent="0.3">
      <c r="A47" t="s">
        <v>45</v>
      </c>
      <c r="B47" s="3">
        <v>44986</v>
      </c>
      <c r="C47">
        <v>1840758</v>
      </c>
    </row>
    <row r="48" spans="1:3" x14ac:dyDescent="0.3">
      <c r="A48" t="s">
        <v>46</v>
      </c>
      <c r="B48" s="3">
        <v>44986</v>
      </c>
      <c r="C48">
        <v>189065</v>
      </c>
    </row>
    <row r="49" spans="1:3" x14ac:dyDescent="0.3">
      <c r="A49" t="s">
        <v>47</v>
      </c>
      <c r="B49" s="3">
        <v>44986</v>
      </c>
      <c r="C49">
        <v>2109188</v>
      </c>
    </row>
    <row r="50" spans="1:3" x14ac:dyDescent="0.3">
      <c r="A50" t="s">
        <v>48</v>
      </c>
      <c r="B50" s="3">
        <v>44986</v>
      </c>
      <c r="C50">
        <v>1359177</v>
      </c>
    </row>
    <row r="51" spans="1:3" x14ac:dyDescent="0.3">
      <c r="A51" t="s">
        <v>49</v>
      </c>
      <c r="B51" s="3">
        <v>44986</v>
      </c>
      <c r="C51">
        <v>622863</v>
      </c>
    </row>
    <row r="52" spans="1:3" x14ac:dyDescent="0.3">
      <c r="A52" t="s">
        <v>50</v>
      </c>
      <c r="B52" s="3">
        <v>44986</v>
      </c>
      <c r="C52">
        <v>79226</v>
      </c>
    </row>
    <row r="53" spans="1:3" x14ac:dyDescent="0.3">
      <c r="A53" t="s">
        <v>63</v>
      </c>
      <c r="B53" s="3">
        <v>44986</v>
      </c>
      <c r="C53">
        <f>SUM(C2:C52)</f>
        <v>86964268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017E0-0CCA-4F1E-AF7D-1E1C72BF1483}">
  <dimension ref="A1:E365"/>
  <sheetViews>
    <sheetView workbookViewId="0">
      <selection activeCell="I354" sqref="I354"/>
    </sheetView>
  </sheetViews>
  <sheetFormatPr defaultRowHeight="14.4" x14ac:dyDescent="0.3"/>
  <cols>
    <col min="1" max="1" width="17.88671875" bestFit="1" customWidth="1"/>
    <col min="2" max="2" width="15.5546875" bestFit="1" customWidth="1"/>
    <col min="3" max="3" width="20.109375" bestFit="1" customWidth="1"/>
    <col min="4" max="4" width="24.109375" bestFit="1" customWidth="1"/>
    <col min="5" max="5" width="32.88671875" bestFit="1" customWidth="1"/>
  </cols>
  <sheetData>
    <row r="1" spans="1:5" x14ac:dyDescent="0.3">
      <c r="A1" s="1" t="s">
        <v>51</v>
      </c>
      <c r="B1" s="1" t="s">
        <v>52</v>
      </c>
      <c r="C1" s="1" t="s">
        <v>153</v>
      </c>
      <c r="D1" s="1" t="s">
        <v>155</v>
      </c>
      <c r="E1" s="1" t="s">
        <v>154</v>
      </c>
    </row>
    <row r="2" spans="1:5" hidden="1" x14ac:dyDescent="0.3">
      <c r="A2" t="s">
        <v>0</v>
      </c>
      <c r="B2" s="3">
        <v>45992</v>
      </c>
      <c r="C2">
        <v>12846</v>
      </c>
      <c r="D2">
        <f>E2-C2</f>
        <v>72260</v>
      </c>
      <c r="E2">
        <v>85106</v>
      </c>
    </row>
    <row r="3" spans="1:5" hidden="1" x14ac:dyDescent="0.3">
      <c r="A3" t="s">
        <v>1</v>
      </c>
      <c r="B3" s="3">
        <v>45992</v>
      </c>
      <c r="C3">
        <v>193204</v>
      </c>
      <c r="D3">
        <f t="shared" ref="D3:D66" si="0">E3-C3</f>
        <v>478657</v>
      </c>
      <c r="E3">
        <v>671861</v>
      </c>
    </row>
    <row r="4" spans="1:5" hidden="1" x14ac:dyDescent="0.3">
      <c r="A4" t="s">
        <v>2</v>
      </c>
      <c r="B4" s="3">
        <v>45992</v>
      </c>
      <c r="C4">
        <v>83497</v>
      </c>
      <c r="D4">
        <f t="shared" si="0"/>
        <v>330927</v>
      </c>
      <c r="E4">
        <v>414424</v>
      </c>
    </row>
    <row r="5" spans="1:5" hidden="1" x14ac:dyDescent="0.3">
      <c r="A5" t="s">
        <v>3</v>
      </c>
      <c r="B5" s="3">
        <v>45992</v>
      </c>
      <c r="C5">
        <v>112634</v>
      </c>
      <c r="D5">
        <f t="shared" si="0"/>
        <v>621988</v>
      </c>
      <c r="E5">
        <v>734622</v>
      </c>
    </row>
    <row r="6" spans="1:5" hidden="1" x14ac:dyDescent="0.3">
      <c r="A6" t="s">
        <v>4</v>
      </c>
      <c r="B6" s="3">
        <v>45992</v>
      </c>
      <c r="C6">
        <v>1228746</v>
      </c>
      <c r="D6">
        <f t="shared" si="0"/>
        <v>3374880</v>
      </c>
      <c r="E6">
        <v>4603626</v>
      </c>
    </row>
    <row r="7" spans="1:5" hidden="1" x14ac:dyDescent="0.3">
      <c r="A7" t="s">
        <v>5</v>
      </c>
      <c r="B7" s="3">
        <v>45992</v>
      </c>
      <c r="C7">
        <v>140079</v>
      </c>
      <c r="D7">
        <f t="shared" si="0"/>
        <v>384018</v>
      </c>
      <c r="E7">
        <v>524097</v>
      </c>
    </row>
    <row r="8" spans="1:5" hidden="1" x14ac:dyDescent="0.3">
      <c r="A8" t="s">
        <v>6</v>
      </c>
      <c r="B8" s="3">
        <v>45992</v>
      </c>
      <c r="C8">
        <v>25323</v>
      </c>
      <c r="D8">
        <f t="shared" si="0"/>
        <v>339796</v>
      </c>
      <c r="E8">
        <v>365119</v>
      </c>
    </row>
    <row r="9" spans="1:5" hidden="1" x14ac:dyDescent="0.3">
      <c r="A9" t="s">
        <v>7</v>
      </c>
      <c r="B9" s="3">
        <v>45992</v>
      </c>
      <c r="C9">
        <v>16284</v>
      </c>
      <c r="D9">
        <f t="shared" si="0"/>
        <v>77957</v>
      </c>
      <c r="E9">
        <v>94241</v>
      </c>
    </row>
    <row r="10" spans="1:5" hidden="1" x14ac:dyDescent="0.3">
      <c r="A10" t="s">
        <v>8</v>
      </c>
      <c r="B10" s="3">
        <v>45992</v>
      </c>
      <c r="C10">
        <v>13989</v>
      </c>
      <c r="D10">
        <f t="shared" si="0"/>
        <v>92718</v>
      </c>
      <c r="E10">
        <v>106707</v>
      </c>
    </row>
    <row r="11" spans="1:5" hidden="1" x14ac:dyDescent="0.3">
      <c r="A11" t="s">
        <v>9</v>
      </c>
      <c r="B11" s="3">
        <v>45992</v>
      </c>
      <c r="C11">
        <v>160955</v>
      </c>
      <c r="D11">
        <f t="shared" si="0"/>
        <v>2156084</v>
      </c>
      <c r="E11">
        <v>2317039</v>
      </c>
    </row>
    <row r="12" spans="1:5" hidden="1" x14ac:dyDescent="0.3">
      <c r="A12" t="s">
        <v>10</v>
      </c>
      <c r="B12" s="3">
        <v>45992</v>
      </c>
      <c r="C12">
        <v>185500</v>
      </c>
      <c r="D12">
        <f t="shared" si="0"/>
        <v>1122113</v>
      </c>
      <c r="E12">
        <v>1307613</v>
      </c>
    </row>
    <row r="13" spans="1:5" hidden="1" x14ac:dyDescent="0.3">
      <c r="A13" t="s">
        <v>11</v>
      </c>
      <c r="B13" s="3">
        <v>45992</v>
      </c>
      <c r="C13">
        <v>24762</v>
      </c>
      <c r="D13">
        <f t="shared" si="0"/>
        <v>128215</v>
      </c>
      <c r="E13">
        <v>152977</v>
      </c>
    </row>
    <row r="14" spans="1:5" hidden="1" x14ac:dyDescent="0.3">
      <c r="A14" t="s">
        <v>12</v>
      </c>
      <c r="B14" s="3">
        <v>45992</v>
      </c>
      <c r="C14">
        <v>84972</v>
      </c>
      <c r="D14">
        <f t="shared" si="0"/>
        <v>244819</v>
      </c>
      <c r="E14">
        <v>329791</v>
      </c>
    </row>
    <row r="15" spans="1:5" hidden="1" x14ac:dyDescent="0.3">
      <c r="A15" t="s">
        <v>13</v>
      </c>
      <c r="B15" s="3">
        <v>45992</v>
      </c>
      <c r="C15">
        <v>19667</v>
      </c>
      <c r="D15">
        <f t="shared" si="0"/>
        <v>132072</v>
      </c>
      <c r="E15">
        <v>151739</v>
      </c>
    </row>
    <row r="16" spans="1:5" hidden="1" x14ac:dyDescent="0.3">
      <c r="A16" t="s">
        <v>14</v>
      </c>
      <c r="B16" s="3">
        <v>45992</v>
      </c>
      <c r="C16">
        <v>318336</v>
      </c>
      <c r="D16">
        <f t="shared" si="0"/>
        <v>1033485</v>
      </c>
      <c r="E16">
        <v>1351821</v>
      </c>
    </row>
    <row r="17" spans="1:5" hidden="1" x14ac:dyDescent="0.3">
      <c r="A17" t="s">
        <v>15</v>
      </c>
      <c r="B17" s="3">
        <v>45992</v>
      </c>
      <c r="C17">
        <v>122727</v>
      </c>
      <c r="D17">
        <f t="shared" si="0"/>
        <v>580536</v>
      </c>
      <c r="E17">
        <v>703263</v>
      </c>
    </row>
    <row r="18" spans="1:5" hidden="1" x14ac:dyDescent="0.3">
      <c r="A18" t="s">
        <v>16</v>
      </c>
      <c r="B18" s="3">
        <v>45992</v>
      </c>
      <c r="C18">
        <v>72590</v>
      </c>
      <c r="D18">
        <f t="shared" si="0"/>
        <v>203426</v>
      </c>
      <c r="E18">
        <v>276016</v>
      </c>
    </row>
    <row r="19" spans="1:5" hidden="1" x14ac:dyDescent="0.3">
      <c r="A19" t="s">
        <v>17</v>
      </c>
      <c r="B19" s="3">
        <v>45992</v>
      </c>
      <c r="C19">
        <v>132867</v>
      </c>
      <c r="D19">
        <f t="shared" si="0"/>
        <v>468797</v>
      </c>
      <c r="E19">
        <v>601664</v>
      </c>
    </row>
    <row r="20" spans="1:5" hidden="1" x14ac:dyDescent="0.3">
      <c r="A20" t="s">
        <v>18</v>
      </c>
      <c r="B20" s="3">
        <v>45992</v>
      </c>
      <c r="C20">
        <v>137321</v>
      </c>
      <c r="D20">
        <f t="shared" si="0"/>
        <v>542015</v>
      </c>
      <c r="E20">
        <v>679336</v>
      </c>
    </row>
    <row r="21" spans="1:5" hidden="1" x14ac:dyDescent="0.3">
      <c r="A21" t="s">
        <v>19</v>
      </c>
      <c r="B21" s="3">
        <v>45992</v>
      </c>
      <c r="C21">
        <v>191201</v>
      </c>
      <c r="D21">
        <f t="shared" si="0"/>
        <v>495496</v>
      </c>
      <c r="E21">
        <v>686697</v>
      </c>
    </row>
    <row r="22" spans="1:5" hidden="1" x14ac:dyDescent="0.3">
      <c r="A22" t="s">
        <v>20</v>
      </c>
      <c r="B22" s="3">
        <v>45992</v>
      </c>
      <c r="C22">
        <v>196621</v>
      </c>
      <c r="D22">
        <f t="shared" si="0"/>
        <v>471601</v>
      </c>
      <c r="E22">
        <v>668222</v>
      </c>
    </row>
    <row r="23" spans="1:5" hidden="1" x14ac:dyDescent="0.3">
      <c r="A23" t="s">
        <v>21</v>
      </c>
      <c r="B23" s="3">
        <v>45992</v>
      </c>
      <c r="C23">
        <v>27136</v>
      </c>
      <c r="D23">
        <f t="shared" si="0"/>
        <v>112126</v>
      </c>
      <c r="E23">
        <v>139262</v>
      </c>
    </row>
    <row r="24" spans="1:5" hidden="1" x14ac:dyDescent="0.3">
      <c r="A24" t="s">
        <v>22</v>
      </c>
      <c r="B24" s="3">
        <v>45992</v>
      </c>
      <c r="C24">
        <v>167087</v>
      </c>
      <c r="D24">
        <f t="shared" si="0"/>
        <v>719044</v>
      </c>
      <c r="E24">
        <v>886131</v>
      </c>
    </row>
    <row r="25" spans="1:5" hidden="1" x14ac:dyDescent="0.3">
      <c r="A25" t="s">
        <v>23</v>
      </c>
      <c r="B25" s="3">
        <v>45992</v>
      </c>
      <c r="C25">
        <v>4226</v>
      </c>
      <c r="D25">
        <f t="shared" si="0"/>
        <v>595889</v>
      </c>
      <c r="E25">
        <v>600115</v>
      </c>
    </row>
    <row r="26" spans="1:5" hidden="1" x14ac:dyDescent="0.3">
      <c r="A26" t="s">
        <v>24</v>
      </c>
      <c r="B26" s="3">
        <v>45992</v>
      </c>
      <c r="C26">
        <v>133560</v>
      </c>
      <c r="D26">
        <f t="shared" si="0"/>
        <v>438709</v>
      </c>
      <c r="E26">
        <v>572269</v>
      </c>
    </row>
    <row r="27" spans="1:5" hidden="1" x14ac:dyDescent="0.3">
      <c r="A27" t="s">
        <v>25</v>
      </c>
      <c r="B27" s="3">
        <v>45992</v>
      </c>
      <c r="C27">
        <v>83623</v>
      </c>
      <c r="D27">
        <f t="shared" si="0"/>
        <v>309341</v>
      </c>
      <c r="E27">
        <v>392964</v>
      </c>
    </row>
    <row r="28" spans="1:5" hidden="1" x14ac:dyDescent="0.3">
      <c r="A28" t="s">
        <v>26</v>
      </c>
      <c r="B28" s="3">
        <v>45992</v>
      </c>
      <c r="C28">
        <v>19767</v>
      </c>
      <c r="D28">
        <f t="shared" si="0"/>
        <v>70010</v>
      </c>
      <c r="E28">
        <v>89777</v>
      </c>
    </row>
    <row r="29" spans="1:5" hidden="1" x14ac:dyDescent="0.3">
      <c r="A29" t="s">
        <v>27</v>
      </c>
      <c r="B29" s="3">
        <v>45992</v>
      </c>
      <c r="C29">
        <v>344953</v>
      </c>
      <c r="D29">
        <f t="shared" si="0"/>
        <v>1076325</v>
      </c>
      <c r="E29">
        <v>1421278</v>
      </c>
    </row>
    <row r="30" spans="1:5" hidden="1" x14ac:dyDescent="0.3">
      <c r="A30" t="s">
        <v>28</v>
      </c>
      <c r="B30" s="3">
        <v>45992</v>
      </c>
      <c r="C30">
        <v>5387</v>
      </c>
      <c r="D30">
        <f t="shared" si="0"/>
        <v>45451</v>
      </c>
      <c r="E30">
        <v>50838</v>
      </c>
    </row>
    <row r="31" spans="1:5" hidden="1" x14ac:dyDescent="0.3">
      <c r="A31" t="s">
        <v>29</v>
      </c>
      <c r="B31" s="3">
        <v>45992</v>
      </c>
      <c r="C31">
        <v>36847</v>
      </c>
      <c r="D31">
        <f t="shared" si="0"/>
        <v>133517</v>
      </c>
      <c r="E31">
        <v>170364</v>
      </c>
    </row>
    <row r="32" spans="1:5" hidden="1" x14ac:dyDescent="0.3">
      <c r="A32" t="s">
        <v>30</v>
      </c>
      <c r="B32" s="3">
        <v>45992</v>
      </c>
      <c r="C32">
        <v>18988</v>
      </c>
      <c r="D32">
        <f t="shared" si="0"/>
        <v>67121</v>
      </c>
      <c r="E32">
        <v>86109</v>
      </c>
    </row>
    <row r="33" spans="1:5" hidden="1" x14ac:dyDescent="0.3">
      <c r="A33" t="s">
        <v>31</v>
      </c>
      <c r="B33" s="3">
        <v>45992</v>
      </c>
      <c r="C33">
        <v>258231</v>
      </c>
      <c r="D33">
        <f t="shared" si="0"/>
        <v>547676</v>
      </c>
      <c r="E33">
        <v>805907</v>
      </c>
    </row>
    <row r="34" spans="1:5" hidden="1" x14ac:dyDescent="0.3">
      <c r="A34" t="s">
        <v>32</v>
      </c>
      <c r="B34" s="3">
        <v>45992</v>
      </c>
      <c r="C34">
        <v>43713</v>
      </c>
      <c r="D34">
        <f t="shared" si="0"/>
        <v>264832</v>
      </c>
      <c r="E34">
        <v>308545</v>
      </c>
    </row>
    <row r="35" spans="1:5" hidden="1" x14ac:dyDescent="0.3">
      <c r="A35" t="s">
        <v>33</v>
      </c>
      <c r="B35" s="3">
        <v>45992</v>
      </c>
      <c r="C35">
        <v>47076</v>
      </c>
      <c r="D35">
        <f t="shared" si="0"/>
        <v>268668</v>
      </c>
      <c r="E35">
        <v>315744</v>
      </c>
    </row>
    <row r="36" spans="1:5" hidden="1" x14ac:dyDescent="0.3">
      <c r="A36" t="s">
        <v>34</v>
      </c>
      <c r="B36" s="3">
        <v>45992</v>
      </c>
      <c r="C36">
        <v>662420</v>
      </c>
      <c r="D36">
        <f t="shared" si="0"/>
        <v>1796810</v>
      </c>
      <c r="E36">
        <v>2459230</v>
      </c>
    </row>
    <row r="37" spans="1:5" hidden="1" x14ac:dyDescent="0.3">
      <c r="A37" t="s">
        <v>35</v>
      </c>
      <c r="B37" s="3">
        <v>45992</v>
      </c>
      <c r="C37">
        <v>242337</v>
      </c>
      <c r="D37">
        <f t="shared" si="0"/>
        <v>931820</v>
      </c>
      <c r="E37">
        <v>1174157</v>
      </c>
    </row>
    <row r="38" spans="1:5" hidden="1" x14ac:dyDescent="0.3">
      <c r="A38" t="s">
        <v>36</v>
      </c>
      <c r="B38" s="3">
        <v>45992</v>
      </c>
      <c r="C38">
        <v>79005</v>
      </c>
      <c r="D38">
        <f t="shared" si="0"/>
        <v>428820</v>
      </c>
      <c r="E38">
        <v>507825</v>
      </c>
    </row>
    <row r="39" spans="1:5" hidden="1" x14ac:dyDescent="0.3">
      <c r="A39" t="s">
        <v>37</v>
      </c>
      <c r="B39" s="3">
        <v>45992</v>
      </c>
      <c r="C39">
        <v>183955</v>
      </c>
      <c r="D39">
        <f t="shared" si="0"/>
        <v>286936</v>
      </c>
      <c r="E39">
        <v>470891</v>
      </c>
    </row>
    <row r="40" spans="1:5" hidden="1" x14ac:dyDescent="0.3">
      <c r="A40" t="s">
        <v>38</v>
      </c>
      <c r="B40" s="3">
        <v>45992</v>
      </c>
      <c r="C40">
        <v>280410</v>
      </c>
      <c r="D40">
        <f t="shared" si="0"/>
        <v>1126771</v>
      </c>
      <c r="E40">
        <v>1407181</v>
      </c>
    </row>
    <row r="41" spans="1:5" hidden="1" x14ac:dyDescent="0.3">
      <c r="A41" t="s">
        <v>39</v>
      </c>
      <c r="B41" s="3">
        <v>45992</v>
      </c>
      <c r="C41">
        <v>33704</v>
      </c>
      <c r="D41">
        <f t="shared" si="0"/>
        <v>84749</v>
      </c>
      <c r="E41">
        <v>118453</v>
      </c>
    </row>
    <row r="42" spans="1:5" hidden="1" x14ac:dyDescent="0.3">
      <c r="A42" t="s">
        <v>40</v>
      </c>
      <c r="B42" s="3">
        <v>45992</v>
      </c>
      <c r="C42">
        <v>112832</v>
      </c>
      <c r="D42">
        <f t="shared" si="0"/>
        <v>492210</v>
      </c>
      <c r="E42">
        <v>605042</v>
      </c>
    </row>
    <row r="43" spans="1:5" hidden="1" x14ac:dyDescent="0.3">
      <c r="A43" t="s">
        <v>41</v>
      </c>
      <c r="B43" s="3">
        <v>45992</v>
      </c>
      <c r="C43">
        <v>14418</v>
      </c>
      <c r="D43">
        <f t="shared" si="0"/>
        <v>61966</v>
      </c>
      <c r="E43">
        <v>76384</v>
      </c>
    </row>
    <row r="44" spans="1:5" hidden="1" x14ac:dyDescent="0.3">
      <c r="A44" t="s">
        <v>42</v>
      </c>
      <c r="B44" s="3">
        <v>45992</v>
      </c>
      <c r="C44">
        <v>181780</v>
      </c>
      <c r="D44">
        <f t="shared" si="0"/>
        <v>648081</v>
      </c>
      <c r="E44">
        <v>829861</v>
      </c>
    </row>
    <row r="45" spans="1:5" hidden="1" x14ac:dyDescent="0.3">
      <c r="A45" t="s">
        <v>43</v>
      </c>
      <c r="B45" s="3">
        <v>45992</v>
      </c>
      <c r="C45">
        <v>344976</v>
      </c>
      <c r="D45">
        <f t="shared" si="0"/>
        <v>2767793</v>
      </c>
      <c r="E45">
        <v>3112769</v>
      </c>
    </row>
    <row r="46" spans="1:5" hidden="1" x14ac:dyDescent="0.3">
      <c r="A46" t="s">
        <v>44</v>
      </c>
      <c r="B46" s="3">
        <v>45992</v>
      </c>
      <c r="C46">
        <v>34612</v>
      </c>
      <c r="D46">
        <f t="shared" si="0"/>
        <v>131109</v>
      </c>
      <c r="E46">
        <v>165721</v>
      </c>
    </row>
    <row r="47" spans="1:5" hidden="1" x14ac:dyDescent="0.3">
      <c r="A47" t="s">
        <v>45</v>
      </c>
      <c r="B47" s="3">
        <v>45992</v>
      </c>
      <c r="C47">
        <v>193509</v>
      </c>
      <c r="D47">
        <f t="shared" si="0"/>
        <v>606633</v>
      </c>
      <c r="E47">
        <v>800142</v>
      </c>
    </row>
    <row r="48" spans="1:5" hidden="1" x14ac:dyDescent="0.3">
      <c r="A48" t="s">
        <v>46</v>
      </c>
      <c r="B48" s="3">
        <v>45992</v>
      </c>
      <c r="C48">
        <v>5393</v>
      </c>
      <c r="D48">
        <f t="shared" si="0"/>
        <v>51977</v>
      </c>
      <c r="E48">
        <v>57370</v>
      </c>
    </row>
    <row r="49" spans="1:5" hidden="1" x14ac:dyDescent="0.3">
      <c r="A49" t="s">
        <v>47</v>
      </c>
      <c r="B49" s="3">
        <v>45992</v>
      </c>
      <c r="C49">
        <v>64618</v>
      </c>
      <c r="D49">
        <f t="shared" si="0"/>
        <v>753547</v>
      </c>
      <c r="E49">
        <v>818165</v>
      </c>
    </row>
    <row r="50" spans="1:5" hidden="1" x14ac:dyDescent="0.3">
      <c r="A50" t="s">
        <v>48</v>
      </c>
      <c r="B50" s="3">
        <v>45992</v>
      </c>
      <c r="C50">
        <v>99749</v>
      </c>
      <c r="D50">
        <f t="shared" si="0"/>
        <v>436558</v>
      </c>
      <c r="E50">
        <v>536307</v>
      </c>
    </row>
    <row r="51" spans="1:5" hidden="1" x14ac:dyDescent="0.3">
      <c r="A51" t="s">
        <v>49</v>
      </c>
      <c r="B51" s="3">
        <v>45992</v>
      </c>
      <c r="C51">
        <v>39681</v>
      </c>
      <c r="D51">
        <f t="shared" si="0"/>
        <v>155044</v>
      </c>
      <c r="E51">
        <v>194725</v>
      </c>
    </row>
    <row r="52" spans="1:5" hidden="1" x14ac:dyDescent="0.3">
      <c r="A52" t="s">
        <v>50</v>
      </c>
      <c r="B52" s="3">
        <v>45992</v>
      </c>
      <c r="C52">
        <v>5847</v>
      </c>
      <c r="D52">
        <f t="shared" si="0"/>
        <v>34422</v>
      </c>
      <c r="E52">
        <v>40269</v>
      </c>
    </row>
    <row r="53" spans="1:5" hidden="1" x14ac:dyDescent="0.3">
      <c r="A53" s="1" t="s">
        <v>63</v>
      </c>
      <c r="B53" s="8">
        <v>45992</v>
      </c>
      <c r="C53" s="1">
        <f>SUM(C2:C52)</f>
        <v>7243961</v>
      </c>
      <c r="D53" s="1">
        <f>E53-C53</f>
        <v>28795815</v>
      </c>
      <c r="E53" s="1">
        <f>SUM(E2:E52)</f>
        <v>36039776</v>
      </c>
    </row>
    <row r="54" spans="1:5" hidden="1" x14ac:dyDescent="0.3">
      <c r="A54" t="s">
        <v>0</v>
      </c>
      <c r="B54" s="3">
        <v>46023</v>
      </c>
      <c r="C54">
        <v>12869</v>
      </c>
      <c r="D54">
        <f t="shared" si="0"/>
        <v>72099</v>
      </c>
      <c r="E54">
        <v>84968</v>
      </c>
    </row>
    <row r="55" spans="1:5" hidden="1" x14ac:dyDescent="0.3">
      <c r="A55" t="s">
        <v>1</v>
      </c>
      <c r="B55" s="3">
        <v>46023</v>
      </c>
      <c r="C55">
        <v>194604</v>
      </c>
      <c r="D55">
        <f t="shared" si="0"/>
        <v>475673</v>
      </c>
      <c r="E55">
        <v>670277</v>
      </c>
    </row>
    <row r="56" spans="1:5" hidden="1" x14ac:dyDescent="0.3">
      <c r="A56" t="s">
        <v>2</v>
      </c>
      <c r="B56" s="3">
        <v>46023</v>
      </c>
      <c r="C56">
        <v>84160</v>
      </c>
      <c r="D56">
        <f t="shared" si="0"/>
        <v>314788</v>
      </c>
      <c r="E56">
        <v>398948</v>
      </c>
    </row>
    <row r="57" spans="1:5" hidden="1" x14ac:dyDescent="0.3">
      <c r="A57" t="s">
        <v>3</v>
      </c>
      <c r="B57" s="3">
        <v>46023</v>
      </c>
      <c r="C57">
        <v>112545</v>
      </c>
      <c r="D57">
        <f t="shared" si="0"/>
        <v>616066</v>
      </c>
      <c r="E57">
        <v>728611</v>
      </c>
    </row>
    <row r="58" spans="1:5" hidden="1" x14ac:dyDescent="0.3">
      <c r="A58" t="s">
        <v>4</v>
      </c>
      <c r="B58" s="3">
        <v>46023</v>
      </c>
      <c r="C58">
        <v>1237976</v>
      </c>
      <c r="D58">
        <f t="shared" si="0"/>
        <v>3344819</v>
      </c>
      <c r="E58">
        <v>4582795</v>
      </c>
    </row>
    <row r="59" spans="1:5" hidden="1" x14ac:dyDescent="0.3">
      <c r="A59" t="s">
        <v>5</v>
      </c>
      <c r="B59" s="3">
        <v>46023</v>
      </c>
      <c r="C59">
        <v>140483</v>
      </c>
      <c r="D59">
        <f t="shared" si="0"/>
        <v>384184</v>
      </c>
      <c r="E59">
        <v>524667</v>
      </c>
    </row>
    <row r="60" spans="1:5" hidden="1" x14ac:dyDescent="0.3">
      <c r="A60" t="s">
        <v>6</v>
      </c>
      <c r="B60" s="3">
        <v>46023</v>
      </c>
      <c r="C60">
        <v>25561</v>
      </c>
      <c r="D60">
        <f t="shared" si="0"/>
        <v>339462</v>
      </c>
      <c r="E60">
        <v>365023</v>
      </c>
    </row>
    <row r="61" spans="1:5" hidden="1" x14ac:dyDescent="0.3">
      <c r="A61" t="s">
        <v>7</v>
      </c>
      <c r="B61" s="3">
        <v>46023</v>
      </c>
      <c r="C61">
        <v>16165</v>
      </c>
      <c r="D61">
        <f t="shared" si="0"/>
        <v>77092</v>
      </c>
      <c r="E61">
        <v>93257</v>
      </c>
    </row>
    <row r="62" spans="1:5" hidden="1" x14ac:dyDescent="0.3">
      <c r="A62" t="s">
        <v>8</v>
      </c>
      <c r="B62" s="3">
        <v>46023</v>
      </c>
      <c r="C62">
        <v>13946</v>
      </c>
      <c r="D62">
        <f t="shared" si="0"/>
        <v>92155</v>
      </c>
      <c r="E62">
        <v>106101</v>
      </c>
    </row>
    <row r="63" spans="1:5" hidden="1" x14ac:dyDescent="0.3">
      <c r="A63" t="s">
        <v>9</v>
      </c>
      <c r="B63" s="3">
        <v>46023</v>
      </c>
      <c r="C63">
        <v>163022</v>
      </c>
      <c r="D63">
        <f t="shared" si="0"/>
        <v>2149852</v>
      </c>
      <c r="E63">
        <v>2312874</v>
      </c>
    </row>
    <row r="64" spans="1:5" hidden="1" x14ac:dyDescent="0.3">
      <c r="A64" t="s">
        <v>10</v>
      </c>
      <c r="B64" s="3">
        <v>46023</v>
      </c>
      <c r="C64">
        <v>183456</v>
      </c>
      <c r="D64">
        <f t="shared" si="0"/>
        <v>1120215</v>
      </c>
      <c r="E64">
        <v>1303671</v>
      </c>
    </row>
    <row r="65" spans="1:5" hidden="1" x14ac:dyDescent="0.3">
      <c r="A65" t="s">
        <v>11</v>
      </c>
      <c r="B65" s="3">
        <v>46023</v>
      </c>
      <c r="C65">
        <v>25342</v>
      </c>
      <c r="D65">
        <f t="shared" si="0"/>
        <v>128004</v>
      </c>
      <c r="E65">
        <v>153346</v>
      </c>
    </row>
    <row r="66" spans="1:5" hidden="1" x14ac:dyDescent="0.3">
      <c r="A66" t="s">
        <v>12</v>
      </c>
      <c r="B66" s="3">
        <v>46023</v>
      </c>
      <c r="C66">
        <v>84760</v>
      </c>
      <c r="D66">
        <f t="shared" si="0"/>
        <v>244633</v>
      </c>
      <c r="E66">
        <v>329393</v>
      </c>
    </row>
    <row r="67" spans="1:5" hidden="1" x14ac:dyDescent="0.3">
      <c r="A67" t="s">
        <v>13</v>
      </c>
      <c r="B67" s="3">
        <v>46023</v>
      </c>
      <c r="C67">
        <v>19587</v>
      </c>
      <c r="D67">
        <f t="shared" ref="D67:D130" si="1">E67-C67</f>
        <v>131618</v>
      </c>
      <c r="E67">
        <v>151205</v>
      </c>
    </row>
    <row r="68" spans="1:5" hidden="1" x14ac:dyDescent="0.3">
      <c r="A68" t="s">
        <v>14</v>
      </c>
      <c r="B68" s="3">
        <v>46023</v>
      </c>
      <c r="C68">
        <v>320864</v>
      </c>
      <c r="D68">
        <f t="shared" si="1"/>
        <v>1026432</v>
      </c>
      <c r="E68">
        <v>1347296</v>
      </c>
    </row>
    <row r="69" spans="1:5" hidden="1" x14ac:dyDescent="0.3">
      <c r="A69" t="s">
        <v>15</v>
      </c>
      <c r="B69" s="3">
        <v>46023</v>
      </c>
      <c r="C69">
        <v>122313</v>
      </c>
      <c r="D69">
        <f t="shared" si="1"/>
        <v>571991</v>
      </c>
      <c r="E69">
        <v>694304</v>
      </c>
    </row>
    <row r="70" spans="1:5" hidden="1" x14ac:dyDescent="0.3">
      <c r="A70" t="s">
        <v>16</v>
      </c>
      <c r="B70" s="3">
        <v>46023</v>
      </c>
      <c r="C70">
        <v>72803</v>
      </c>
      <c r="D70">
        <f t="shared" si="1"/>
        <v>204313</v>
      </c>
      <c r="E70">
        <v>277116</v>
      </c>
    </row>
    <row r="71" spans="1:5" hidden="1" x14ac:dyDescent="0.3">
      <c r="A71" t="s">
        <v>17</v>
      </c>
      <c r="B71" s="3">
        <v>46023</v>
      </c>
      <c r="C71">
        <v>134031</v>
      </c>
      <c r="D71">
        <f t="shared" si="1"/>
        <v>465575</v>
      </c>
      <c r="E71">
        <v>599606</v>
      </c>
    </row>
    <row r="72" spans="1:5" hidden="1" x14ac:dyDescent="0.3">
      <c r="A72" t="s">
        <v>18</v>
      </c>
      <c r="B72" s="3">
        <v>46023</v>
      </c>
      <c r="C72">
        <v>137043</v>
      </c>
      <c r="D72">
        <f t="shared" si="1"/>
        <v>540363</v>
      </c>
      <c r="E72">
        <v>677406</v>
      </c>
    </row>
    <row r="73" spans="1:5" hidden="1" x14ac:dyDescent="0.3">
      <c r="A73" t="s">
        <v>19</v>
      </c>
      <c r="B73" s="3">
        <v>46023</v>
      </c>
      <c r="C73">
        <v>188257</v>
      </c>
      <c r="D73">
        <f t="shared" si="1"/>
        <v>494694</v>
      </c>
      <c r="E73">
        <v>682951</v>
      </c>
    </row>
    <row r="74" spans="1:5" hidden="1" x14ac:dyDescent="0.3">
      <c r="A74" t="s">
        <v>20</v>
      </c>
      <c r="B74" s="3">
        <v>46023</v>
      </c>
      <c r="C74">
        <v>196171</v>
      </c>
      <c r="D74">
        <f t="shared" si="1"/>
        <v>469788</v>
      </c>
      <c r="E74">
        <v>665959</v>
      </c>
    </row>
    <row r="75" spans="1:5" hidden="1" x14ac:dyDescent="0.3">
      <c r="A75" t="s">
        <v>21</v>
      </c>
      <c r="B75" s="3">
        <v>46023</v>
      </c>
      <c r="C75">
        <v>21431</v>
      </c>
      <c r="D75">
        <f t="shared" si="1"/>
        <v>117119</v>
      </c>
      <c r="E75">
        <v>138550</v>
      </c>
    </row>
    <row r="76" spans="1:5" hidden="1" x14ac:dyDescent="0.3">
      <c r="A76" t="s">
        <v>22</v>
      </c>
      <c r="B76" s="3">
        <v>46023</v>
      </c>
      <c r="C76">
        <v>167306</v>
      </c>
      <c r="D76">
        <f t="shared" si="1"/>
        <v>717135</v>
      </c>
      <c r="E76">
        <v>884441</v>
      </c>
    </row>
    <row r="77" spans="1:5" hidden="1" x14ac:dyDescent="0.3">
      <c r="A77" t="s">
        <v>23</v>
      </c>
      <c r="B77" s="3">
        <v>46023</v>
      </c>
      <c r="C77">
        <v>4104</v>
      </c>
      <c r="D77">
        <f t="shared" si="1"/>
        <v>592845</v>
      </c>
      <c r="E77">
        <v>596949</v>
      </c>
    </row>
    <row r="78" spans="1:5" hidden="1" x14ac:dyDescent="0.3">
      <c r="A78" t="s">
        <v>24</v>
      </c>
      <c r="B78" s="3">
        <v>46023</v>
      </c>
      <c r="C78">
        <v>134247</v>
      </c>
      <c r="D78">
        <f t="shared" si="1"/>
        <v>435543</v>
      </c>
      <c r="E78">
        <v>569790</v>
      </c>
    </row>
    <row r="79" spans="1:5" hidden="1" x14ac:dyDescent="0.3">
      <c r="A79" t="s">
        <v>25</v>
      </c>
      <c r="B79" s="3">
        <v>46023</v>
      </c>
      <c r="C79">
        <v>83703</v>
      </c>
      <c r="D79">
        <f t="shared" si="1"/>
        <v>309019</v>
      </c>
      <c r="E79">
        <v>392722</v>
      </c>
    </row>
    <row r="80" spans="1:5" hidden="1" x14ac:dyDescent="0.3">
      <c r="A80" t="s">
        <v>26</v>
      </c>
      <c r="B80" s="3">
        <v>46023</v>
      </c>
      <c r="C80">
        <v>19792</v>
      </c>
      <c r="D80">
        <f t="shared" si="1"/>
        <v>69677</v>
      </c>
      <c r="E80">
        <v>89469</v>
      </c>
    </row>
    <row r="81" spans="1:5" hidden="1" x14ac:dyDescent="0.3">
      <c r="A81" t="s">
        <v>27</v>
      </c>
      <c r="B81" s="3">
        <v>46023</v>
      </c>
      <c r="C81">
        <v>344352</v>
      </c>
      <c r="D81">
        <f t="shared" si="1"/>
        <v>1068704</v>
      </c>
      <c r="E81">
        <v>1413056</v>
      </c>
    </row>
    <row r="82" spans="1:5" hidden="1" x14ac:dyDescent="0.3">
      <c r="A82" t="s">
        <v>28</v>
      </c>
      <c r="B82" s="3">
        <v>46023</v>
      </c>
      <c r="C82">
        <v>5414</v>
      </c>
      <c r="D82">
        <f t="shared" si="1"/>
        <v>45311</v>
      </c>
      <c r="E82">
        <v>50725</v>
      </c>
    </row>
    <row r="83" spans="1:5" hidden="1" x14ac:dyDescent="0.3">
      <c r="A83" t="s">
        <v>29</v>
      </c>
      <c r="B83" s="3">
        <v>46023</v>
      </c>
      <c r="C83">
        <v>37249</v>
      </c>
      <c r="D83">
        <f t="shared" si="1"/>
        <v>133593</v>
      </c>
      <c r="E83">
        <v>170842</v>
      </c>
    </row>
    <row r="84" spans="1:5" hidden="1" x14ac:dyDescent="0.3">
      <c r="A84" t="s">
        <v>30</v>
      </c>
      <c r="B84" s="3">
        <v>46023</v>
      </c>
      <c r="C84">
        <v>18907</v>
      </c>
      <c r="D84">
        <f t="shared" si="1"/>
        <v>66696</v>
      </c>
      <c r="E84">
        <v>85603</v>
      </c>
    </row>
    <row r="85" spans="1:5" hidden="1" x14ac:dyDescent="0.3">
      <c r="A85" t="s">
        <v>31</v>
      </c>
      <c r="B85" s="3">
        <v>46023</v>
      </c>
      <c r="C85">
        <v>256572</v>
      </c>
      <c r="D85">
        <f t="shared" si="1"/>
        <v>544559</v>
      </c>
      <c r="E85">
        <v>801131</v>
      </c>
    </row>
    <row r="86" spans="1:5" hidden="1" x14ac:dyDescent="0.3">
      <c r="A86" t="s">
        <v>32</v>
      </c>
      <c r="B86" s="3">
        <v>46023</v>
      </c>
      <c r="C86">
        <v>44018</v>
      </c>
      <c r="D86">
        <f t="shared" si="1"/>
        <v>263930</v>
      </c>
      <c r="E86">
        <v>307948</v>
      </c>
    </row>
    <row r="87" spans="1:5" hidden="1" x14ac:dyDescent="0.3">
      <c r="A87" t="s">
        <v>33</v>
      </c>
      <c r="B87" s="3">
        <v>46023</v>
      </c>
      <c r="C87">
        <v>47335</v>
      </c>
      <c r="D87">
        <f t="shared" si="1"/>
        <v>268603</v>
      </c>
      <c r="E87">
        <v>315938</v>
      </c>
    </row>
    <row r="88" spans="1:5" hidden="1" x14ac:dyDescent="0.3">
      <c r="A88" t="s">
        <v>34</v>
      </c>
      <c r="B88" s="3">
        <v>46023</v>
      </c>
      <c r="C88">
        <v>659617</v>
      </c>
      <c r="D88">
        <f t="shared" si="1"/>
        <v>1789550</v>
      </c>
      <c r="E88">
        <v>2449167</v>
      </c>
    </row>
    <row r="89" spans="1:5" hidden="1" x14ac:dyDescent="0.3">
      <c r="A89" t="s">
        <v>35</v>
      </c>
      <c r="B89" s="3">
        <v>46023</v>
      </c>
      <c r="C89">
        <v>242200</v>
      </c>
      <c r="D89">
        <f t="shared" si="1"/>
        <v>920812</v>
      </c>
      <c r="E89">
        <v>1163012</v>
      </c>
    </row>
    <row r="90" spans="1:5" hidden="1" x14ac:dyDescent="0.3">
      <c r="A90" t="s">
        <v>36</v>
      </c>
      <c r="B90" s="3">
        <v>46023</v>
      </c>
      <c r="C90">
        <v>74717</v>
      </c>
      <c r="D90">
        <f t="shared" si="1"/>
        <v>428400</v>
      </c>
      <c r="E90">
        <v>503117</v>
      </c>
    </row>
    <row r="91" spans="1:5" hidden="1" x14ac:dyDescent="0.3">
      <c r="A91" t="s">
        <v>37</v>
      </c>
      <c r="B91" s="3">
        <v>46023</v>
      </c>
      <c r="C91">
        <v>184066</v>
      </c>
      <c r="D91">
        <f t="shared" si="1"/>
        <v>286619</v>
      </c>
      <c r="E91">
        <v>470685</v>
      </c>
    </row>
    <row r="92" spans="1:5" hidden="1" x14ac:dyDescent="0.3">
      <c r="A92" t="s">
        <v>38</v>
      </c>
      <c r="B92" s="3">
        <v>46023</v>
      </c>
      <c r="C92">
        <v>278730</v>
      </c>
      <c r="D92">
        <f t="shared" si="1"/>
        <v>1123907</v>
      </c>
      <c r="E92">
        <v>1402637</v>
      </c>
    </row>
    <row r="93" spans="1:5" hidden="1" x14ac:dyDescent="0.3">
      <c r="A93" t="s">
        <v>39</v>
      </c>
      <c r="B93" s="3">
        <v>46023</v>
      </c>
      <c r="C93">
        <v>34013</v>
      </c>
      <c r="D93">
        <f t="shared" si="1"/>
        <v>84519</v>
      </c>
      <c r="E93">
        <v>118532</v>
      </c>
    </row>
    <row r="94" spans="1:5" hidden="1" x14ac:dyDescent="0.3">
      <c r="A94" t="s">
        <v>40</v>
      </c>
      <c r="B94" s="3">
        <v>46023</v>
      </c>
      <c r="C94">
        <v>113356</v>
      </c>
      <c r="D94">
        <f t="shared" si="1"/>
        <v>489792</v>
      </c>
      <c r="E94">
        <v>603148</v>
      </c>
    </row>
    <row r="95" spans="1:5" hidden="1" x14ac:dyDescent="0.3">
      <c r="A95" t="s">
        <v>41</v>
      </c>
      <c r="B95" s="3">
        <v>46023</v>
      </c>
      <c r="C95">
        <v>14404</v>
      </c>
      <c r="D95">
        <f t="shared" si="1"/>
        <v>62036</v>
      </c>
      <c r="E95">
        <v>76440</v>
      </c>
    </row>
    <row r="96" spans="1:5" hidden="1" x14ac:dyDescent="0.3">
      <c r="A96" t="s">
        <v>42</v>
      </c>
      <c r="B96" s="3">
        <v>46023</v>
      </c>
      <c r="C96">
        <v>181049</v>
      </c>
      <c r="D96">
        <f t="shared" si="1"/>
        <v>648578</v>
      </c>
      <c r="E96">
        <v>829627</v>
      </c>
    </row>
    <row r="97" spans="1:5" hidden="1" x14ac:dyDescent="0.3">
      <c r="A97" t="s">
        <v>43</v>
      </c>
      <c r="B97" s="3">
        <v>46023</v>
      </c>
      <c r="C97">
        <v>344813</v>
      </c>
      <c r="D97">
        <f t="shared" si="1"/>
        <v>2723103</v>
      </c>
      <c r="E97">
        <v>3067916</v>
      </c>
    </row>
    <row r="98" spans="1:5" hidden="1" x14ac:dyDescent="0.3">
      <c r="A98" t="s">
        <v>44</v>
      </c>
      <c r="B98" s="3">
        <v>46023</v>
      </c>
      <c r="C98">
        <v>34679</v>
      </c>
      <c r="D98">
        <f t="shared" si="1"/>
        <v>129843</v>
      </c>
      <c r="E98">
        <v>164522</v>
      </c>
    </row>
    <row r="99" spans="1:5" hidden="1" x14ac:dyDescent="0.3">
      <c r="A99" t="s">
        <v>45</v>
      </c>
      <c r="B99" s="3">
        <v>46023</v>
      </c>
      <c r="C99">
        <v>192709</v>
      </c>
      <c r="D99">
        <f t="shared" si="1"/>
        <v>605113</v>
      </c>
      <c r="E99">
        <v>797822</v>
      </c>
    </row>
    <row r="100" spans="1:5" hidden="1" x14ac:dyDescent="0.3">
      <c r="A100" t="s">
        <v>46</v>
      </c>
      <c r="B100" s="3">
        <v>46023</v>
      </c>
      <c r="C100">
        <v>5468</v>
      </c>
      <c r="D100">
        <f t="shared" si="1"/>
        <v>51885</v>
      </c>
      <c r="E100">
        <v>57353</v>
      </c>
    </row>
    <row r="101" spans="1:5" hidden="1" x14ac:dyDescent="0.3">
      <c r="A101" t="s">
        <v>47</v>
      </c>
      <c r="B101" s="3">
        <v>46023</v>
      </c>
      <c r="C101">
        <v>65228</v>
      </c>
      <c r="D101">
        <f t="shared" si="1"/>
        <v>752454</v>
      </c>
      <c r="E101">
        <v>817682</v>
      </c>
    </row>
    <row r="102" spans="1:5" hidden="1" x14ac:dyDescent="0.3">
      <c r="A102" t="s">
        <v>48</v>
      </c>
      <c r="B102" s="3">
        <v>46023</v>
      </c>
      <c r="C102">
        <v>99940</v>
      </c>
      <c r="D102">
        <f t="shared" si="1"/>
        <v>436411</v>
      </c>
      <c r="E102">
        <v>536351</v>
      </c>
    </row>
    <row r="103" spans="1:5" hidden="1" x14ac:dyDescent="0.3">
      <c r="A103" t="s">
        <v>49</v>
      </c>
      <c r="B103" s="3">
        <v>46023</v>
      </c>
      <c r="C103">
        <v>39648</v>
      </c>
      <c r="D103">
        <f t="shared" si="1"/>
        <v>154501</v>
      </c>
      <c r="E103">
        <v>194149</v>
      </c>
    </row>
    <row r="104" spans="1:5" hidden="1" x14ac:dyDescent="0.3">
      <c r="A104" t="s">
        <v>50</v>
      </c>
      <c r="B104" s="3">
        <v>46023</v>
      </c>
      <c r="C104">
        <v>6033</v>
      </c>
      <c r="D104">
        <f t="shared" si="1"/>
        <v>34647</v>
      </c>
      <c r="E104">
        <v>40680</v>
      </c>
    </row>
    <row r="105" spans="1:5" hidden="1" x14ac:dyDescent="0.3">
      <c r="A105" s="1" t="s">
        <v>63</v>
      </c>
      <c r="B105" s="8">
        <v>46023</v>
      </c>
      <c r="C105" s="1">
        <f>SUM(C54:C104)</f>
        <v>7241058</v>
      </c>
      <c r="D105" s="1">
        <f>E105-C105</f>
        <v>28618720</v>
      </c>
      <c r="E105" s="1">
        <f>SUM(E54:E104)</f>
        <v>35859778</v>
      </c>
    </row>
    <row r="106" spans="1:5" hidden="1" x14ac:dyDescent="0.3">
      <c r="A106" t="s">
        <v>0</v>
      </c>
      <c r="B106" s="3">
        <v>46054</v>
      </c>
      <c r="C106">
        <v>12855</v>
      </c>
      <c r="D106">
        <f t="shared" si="1"/>
        <v>72317</v>
      </c>
      <c r="E106">
        <v>85172</v>
      </c>
    </row>
    <row r="107" spans="1:5" hidden="1" x14ac:dyDescent="0.3">
      <c r="A107" t="s">
        <v>1</v>
      </c>
      <c r="B107" s="3">
        <v>46054</v>
      </c>
      <c r="C107">
        <v>196218</v>
      </c>
      <c r="D107">
        <f t="shared" si="1"/>
        <v>475064</v>
      </c>
      <c r="E107">
        <v>671282</v>
      </c>
    </row>
    <row r="108" spans="1:5" hidden="1" x14ac:dyDescent="0.3">
      <c r="A108" t="s">
        <v>2</v>
      </c>
      <c r="B108" s="3">
        <v>46054</v>
      </c>
      <c r="C108">
        <v>83371</v>
      </c>
      <c r="D108">
        <f t="shared" si="1"/>
        <v>315988</v>
      </c>
      <c r="E108">
        <v>399359</v>
      </c>
    </row>
    <row r="109" spans="1:5" hidden="1" x14ac:dyDescent="0.3">
      <c r="A109" t="s">
        <v>3</v>
      </c>
      <c r="B109" s="3">
        <v>46054</v>
      </c>
      <c r="C109">
        <v>111400</v>
      </c>
      <c r="D109">
        <f t="shared" si="1"/>
        <v>608244</v>
      </c>
      <c r="E109">
        <v>719644</v>
      </c>
    </row>
    <row r="110" spans="1:5" hidden="1" x14ac:dyDescent="0.3">
      <c r="A110" t="s">
        <v>4</v>
      </c>
      <c r="B110" s="3">
        <v>46054</v>
      </c>
      <c r="C110">
        <v>1240954</v>
      </c>
      <c r="D110">
        <f t="shared" si="1"/>
        <v>3317153</v>
      </c>
      <c r="E110">
        <v>4558107</v>
      </c>
    </row>
    <row r="111" spans="1:5" hidden="1" x14ac:dyDescent="0.3">
      <c r="A111" t="s">
        <v>5</v>
      </c>
      <c r="B111" s="3">
        <v>46054</v>
      </c>
      <c r="C111">
        <v>139344</v>
      </c>
      <c r="D111">
        <f t="shared" si="1"/>
        <v>385082</v>
      </c>
      <c r="E111">
        <v>524426</v>
      </c>
    </row>
    <row r="112" spans="1:5" hidden="1" x14ac:dyDescent="0.3">
      <c r="A112" t="s">
        <v>6</v>
      </c>
      <c r="B112" s="3">
        <v>46054</v>
      </c>
      <c r="C112">
        <v>25490</v>
      </c>
      <c r="D112">
        <f t="shared" si="1"/>
        <v>338537</v>
      </c>
      <c r="E112">
        <v>364027</v>
      </c>
    </row>
    <row r="113" spans="1:5" hidden="1" x14ac:dyDescent="0.3">
      <c r="A113" t="s">
        <v>7</v>
      </c>
      <c r="B113" s="3">
        <v>46054</v>
      </c>
      <c r="C113">
        <v>16190</v>
      </c>
      <c r="D113">
        <f t="shared" si="1"/>
        <v>77518</v>
      </c>
      <c r="E113">
        <v>93708</v>
      </c>
    </row>
    <row r="114" spans="1:5" hidden="1" x14ac:dyDescent="0.3">
      <c r="A114" t="s">
        <v>8</v>
      </c>
      <c r="B114" s="3">
        <v>46054</v>
      </c>
      <c r="C114">
        <v>14007</v>
      </c>
      <c r="D114">
        <f t="shared" si="1"/>
        <v>91635</v>
      </c>
      <c r="E114">
        <v>105642</v>
      </c>
    </row>
    <row r="115" spans="1:5" hidden="1" x14ac:dyDescent="0.3">
      <c r="A115" t="s">
        <v>9</v>
      </c>
      <c r="B115" s="3">
        <v>46054</v>
      </c>
      <c r="C115">
        <v>165278</v>
      </c>
      <c r="D115">
        <f t="shared" si="1"/>
        <v>2138601</v>
      </c>
      <c r="E115">
        <v>2303879</v>
      </c>
    </row>
    <row r="116" spans="1:5" hidden="1" x14ac:dyDescent="0.3">
      <c r="A116" t="s">
        <v>10</v>
      </c>
      <c r="B116" s="3">
        <v>46054</v>
      </c>
      <c r="C116">
        <v>182012</v>
      </c>
      <c r="D116">
        <f t="shared" si="1"/>
        <v>1113757</v>
      </c>
      <c r="E116">
        <v>1295769</v>
      </c>
    </row>
    <row r="117" spans="1:5" hidden="1" x14ac:dyDescent="0.3">
      <c r="A117" t="s">
        <v>11</v>
      </c>
      <c r="B117" s="3">
        <v>46054</v>
      </c>
      <c r="C117">
        <v>25575</v>
      </c>
      <c r="D117">
        <f t="shared" si="1"/>
        <v>127997</v>
      </c>
      <c r="E117">
        <v>153572</v>
      </c>
    </row>
    <row r="118" spans="1:5" hidden="1" x14ac:dyDescent="0.3">
      <c r="A118" t="s">
        <v>12</v>
      </c>
      <c r="B118" s="3">
        <v>46054</v>
      </c>
      <c r="C118">
        <v>84704</v>
      </c>
      <c r="D118">
        <f t="shared" si="1"/>
        <v>246679</v>
      </c>
      <c r="E118">
        <v>331383</v>
      </c>
    </row>
    <row r="119" spans="1:5" hidden="1" x14ac:dyDescent="0.3">
      <c r="A119" t="s">
        <v>13</v>
      </c>
      <c r="B119" s="3">
        <v>46054</v>
      </c>
      <c r="C119">
        <v>19595</v>
      </c>
      <c r="D119">
        <f t="shared" si="1"/>
        <v>131484</v>
      </c>
      <c r="E119">
        <v>151079</v>
      </c>
    </row>
    <row r="120" spans="1:5" hidden="1" x14ac:dyDescent="0.3">
      <c r="A120" t="s">
        <v>14</v>
      </c>
      <c r="B120" s="3">
        <v>46054</v>
      </c>
      <c r="C120">
        <v>321413</v>
      </c>
      <c r="D120">
        <f t="shared" si="1"/>
        <v>1023998</v>
      </c>
      <c r="E120">
        <v>1345411</v>
      </c>
    </row>
    <row r="121" spans="1:5" hidden="1" x14ac:dyDescent="0.3">
      <c r="A121" t="s">
        <v>15</v>
      </c>
      <c r="B121" s="3">
        <v>46054</v>
      </c>
      <c r="C121">
        <v>120298</v>
      </c>
      <c r="D121">
        <f t="shared" si="1"/>
        <v>563260</v>
      </c>
      <c r="E121">
        <v>683558</v>
      </c>
    </row>
    <row r="122" spans="1:5" hidden="1" x14ac:dyDescent="0.3">
      <c r="A122" t="s">
        <v>16</v>
      </c>
      <c r="B122" s="3">
        <v>46054</v>
      </c>
      <c r="C122">
        <v>72240</v>
      </c>
      <c r="D122">
        <f t="shared" si="1"/>
        <v>203324</v>
      </c>
      <c r="E122">
        <v>275564</v>
      </c>
    </row>
    <row r="123" spans="1:5" hidden="1" x14ac:dyDescent="0.3">
      <c r="A123" t="s">
        <v>17</v>
      </c>
      <c r="B123" s="3">
        <v>46054</v>
      </c>
      <c r="C123">
        <v>128641</v>
      </c>
      <c r="D123">
        <f t="shared" si="1"/>
        <v>457847</v>
      </c>
      <c r="E123">
        <v>586488</v>
      </c>
    </row>
    <row r="124" spans="1:5" hidden="1" x14ac:dyDescent="0.3">
      <c r="A124" t="s">
        <v>18</v>
      </c>
      <c r="B124" s="3">
        <v>46054</v>
      </c>
      <c r="C124">
        <v>136395</v>
      </c>
      <c r="D124">
        <f t="shared" si="1"/>
        <v>534194</v>
      </c>
      <c r="E124">
        <v>670589</v>
      </c>
    </row>
    <row r="125" spans="1:5" hidden="1" x14ac:dyDescent="0.3">
      <c r="A125" t="s">
        <v>19</v>
      </c>
      <c r="B125" s="3">
        <v>46054</v>
      </c>
      <c r="C125">
        <v>183387</v>
      </c>
      <c r="D125">
        <f t="shared" si="1"/>
        <v>492255</v>
      </c>
      <c r="E125">
        <v>675642</v>
      </c>
    </row>
    <row r="126" spans="1:5" hidden="1" x14ac:dyDescent="0.3">
      <c r="A126" t="s">
        <v>20</v>
      </c>
      <c r="B126" s="3">
        <v>46054</v>
      </c>
      <c r="C126">
        <v>195444</v>
      </c>
      <c r="D126">
        <f t="shared" si="1"/>
        <v>468756</v>
      </c>
      <c r="E126">
        <v>664200</v>
      </c>
    </row>
    <row r="127" spans="1:5" hidden="1" x14ac:dyDescent="0.3">
      <c r="A127" t="s">
        <v>21</v>
      </c>
      <c r="B127" s="3">
        <v>46054</v>
      </c>
      <c r="C127">
        <v>21134</v>
      </c>
      <c r="D127">
        <f t="shared" si="1"/>
        <v>117231</v>
      </c>
      <c r="E127">
        <v>138365</v>
      </c>
    </row>
    <row r="128" spans="1:5" hidden="1" x14ac:dyDescent="0.3">
      <c r="A128" t="s">
        <v>22</v>
      </c>
      <c r="B128" s="3">
        <v>46054</v>
      </c>
      <c r="C128">
        <v>166929</v>
      </c>
      <c r="D128">
        <f t="shared" si="1"/>
        <v>714946</v>
      </c>
      <c r="E128">
        <v>881875</v>
      </c>
    </row>
    <row r="129" spans="1:5" hidden="1" x14ac:dyDescent="0.3">
      <c r="A129" t="s">
        <v>23</v>
      </c>
      <c r="B129" s="3">
        <v>46054</v>
      </c>
      <c r="C129">
        <v>3982</v>
      </c>
      <c r="D129">
        <f t="shared" si="1"/>
        <v>591420</v>
      </c>
      <c r="E129">
        <v>595402</v>
      </c>
    </row>
    <row r="130" spans="1:5" hidden="1" x14ac:dyDescent="0.3">
      <c r="A130" t="s">
        <v>24</v>
      </c>
      <c r="B130" s="3">
        <v>46054</v>
      </c>
      <c r="C130">
        <v>134390</v>
      </c>
      <c r="D130">
        <f t="shared" si="1"/>
        <v>430273</v>
      </c>
      <c r="E130">
        <v>564663</v>
      </c>
    </row>
    <row r="131" spans="1:5" hidden="1" x14ac:dyDescent="0.3">
      <c r="A131" t="s">
        <v>25</v>
      </c>
      <c r="B131" s="3">
        <v>46054</v>
      </c>
      <c r="C131">
        <v>83532</v>
      </c>
      <c r="D131">
        <f t="shared" ref="D131:D194" si="2">E131-C131</f>
        <v>308430</v>
      </c>
      <c r="E131">
        <v>391962</v>
      </c>
    </row>
    <row r="132" spans="1:5" hidden="1" x14ac:dyDescent="0.3">
      <c r="A132" t="s">
        <v>26</v>
      </c>
      <c r="B132" s="3">
        <v>46054</v>
      </c>
      <c r="C132">
        <v>19805</v>
      </c>
      <c r="D132">
        <f t="shared" si="2"/>
        <v>69450</v>
      </c>
      <c r="E132">
        <v>89255</v>
      </c>
    </row>
    <row r="133" spans="1:5" hidden="1" x14ac:dyDescent="0.3">
      <c r="A133" t="s">
        <v>27</v>
      </c>
      <c r="B133" s="3">
        <v>46054</v>
      </c>
      <c r="C133">
        <v>345689</v>
      </c>
      <c r="D133">
        <f t="shared" si="2"/>
        <v>1056396</v>
      </c>
      <c r="E133">
        <v>1402085</v>
      </c>
    </row>
    <row r="134" spans="1:5" hidden="1" x14ac:dyDescent="0.3">
      <c r="A134" t="s">
        <v>28</v>
      </c>
      <c r="B134" s="3">
        <v>46054</v>
      </c>
      <c r="C134">
        <v>5392</v>
      </c>
      <c r="D134">
        <f t="shared" si="2"/>
        <v>45306</v>
      </c>
      <c r="E134">
        <v>50698</v>
      </c>
    </row>
    <row r="135" spans="1:5" hidden="1" x14ac:dyDescent="0.3">
      <c r="A135" t="s">
        <v>29</v>
      </c>
      <c r="B135" s="3">
        <v>46054</v>
      </c>
      <c r="C135">
        <v>37273</v>
      </c>
      <c r="D135">
        <f t="shared" si="2"/>
        <v>134038</v>
      </c>
      <c r="E135">
        <v>171311</v>
      </c>
    </row>
    <row r="136" spans="1:5" hidden="1" x14ac:dyDescent="0.3">
      <c r="A136" t="s">
        <v>30</v>
      </c>
      <c r="B136" s="3">
        <v>46054</v>
      </c>
      <c r="C136">
        <v>18985</v>
      </c>
      <c r="D136">
        <f t="shared" si="2"/>
        <v>66196</v>
      </c>
      <c r="E136">
        <v>85181</v>
      </c>
    </row>
    <row r="137" spans="1:5" hidden="1" x14ac:dyDescent="0.3">
      <c r="A137" t="s">
        <v>31</v>
      </c>
      <c r="B137" s="3">
        <v>46054</v>
      </c>
      <c r="C137">
        <v>256439</v>
      </c>
      <c r="D137">
        <f t="shared" si="2"/>
        <v>544891</v>
      </c>
      <c r="E137">
        <v>801330</v>
      </c>
    </row>
    <row r="138" spans="1:5" hidden="1" x14ac:dyDescent="0.3">
      <c r="A138" t="s">
        <v>32</v>
      </c>
      <c r="B138" s="3">
        <v>46054</v>
      </c>
      <c r="C138">
        <v>43909</v>
      </c>
      <c r="D138">
        <f t="shared" si="2"/>
        <v>263410</v>
      </c>
      <c r="E138">
        <v>307319</v>
      </c>
    </row>
    <row r="139" spans="1:5" hidden="1" x14ac:dyDescent="0.3">
      <c r="A139" t="s">
        <v>33</v>
      </c>
      <c r="B139" s="3">
        <v>46054</v>
      </c>
      <c r="C139">
        <v>47078</v>
      </c>
      <c r="D139">
        <f t="shared" si="2"/>
        <v>267732</v>
      </c>
      <c r="E139">
        <v>314810</v>
      </c>
    </row>
    <row r="140" spans="1:5" hidden="1" x14ac:dyDescent="0.3">
      <c r="A140" t="s">
        <v>34</v>
      </c>
      <c r="B140" s="3">
        <v>46054</v>
      </c>
      <c r="C140">
        <v>657439</v>
      </c>
      <c r="D140">
        <f t="shared" si="2"/>
        <v>1776166</v>
      </c>
      <c r="E140">
        <v>2433605</v>
      </c>
    </row>
    <row r="141" spans="1:5" hidden="1" x14ac:dyDescent="0.3">
      <c r="A141" t="s">
        <v>35</v>
      </c>
      <c r="B141" s="3">
        <v>46054</v>
      </c>
      <c r="C141">
        <v>242061</v>
      </c>
      <c r="D141">
        <f t="shared" si="2"/>
        <v>911320</v>
      </c>
      <c r="E141">
        <v>1153381</v>
      </c>
    </row>
    <row r="142" spans="1:5" hidden="1" x14ac:dyDescent="0.3">
      <c r="A142" t="s">
        <v>36</v>
      </c>
      <c r="B142" s="3">
        <v>46054</v>
      </c>
      <c r="C142">
        <v>77906</v>
      </c>
      <c r="D142">
        <f t="shared" si="2"/>
        <v>423051</v>
      </c>
      <c r="E142">
        <v>500957</v>
      </c>
    </row>
    <row r="143" spans="1:5" hidden="1" x14ac:dyDescent="0.3">
      <c r="A143" t="s">
        <v>37</v>
      </c>
      <c r="B143" s="3">
        <v>46054</v>
      </c>
      <c r="C143">
        <v>182827</v>
      </c>
      <c r="D143">
        <f t="shared" si="2"/>
        <v>286705</v>
      </c>
      <c r="E143">
        <v>469532</v>
      </c>
    </row>
    <row r="144" spans="1:5" hidden="1" x14ac:dyDescent="0.3">
      <c r="A144" t="s">
        <v>38</v>
      </c>
      <c r="B144" s="3">
        <v>46054</v>
      </c>
      <c r="C144">
        <v>278554</v>
      </c>
      <c r="D144">
        <f t="shared" si="2"/>
        <v>1127110</v>
      </c>
      <c r="E144">
        <v>1405664</v>
      </c>
    </row>
    <row r="145" spans="1:5" hidden="1" x14ac:dyDescent="0.3">
      <c r="A145" t="s">
        <v>39</v>
      </c>
      <c r="B145" s="3">
        <v>46054</v>
      </c>
      <c r="C145">
        <v>35160</v>
      </c>
      <c r="D145">
        <f t="shared" si="2"/>
        <v>78105</v>
      </c>
      <c r="E145">
        <v>113265</v>
      </c>
    </row>
    <row r="146" spans="1:5" hidden="1" x14ac:dyDescent="0.3">
      <c r="A146" t="s">
        <v>40</v>
      </c>
      <c r="B146" s="3">
        <v>46054</v>
      </c>
      <c r="C146">
        <v>113491</v>
      </c>
      <c r="D146">
        <f t="shared" si="2"/>
        <v>486261</v>
      </c>
      <c r="E146">
        <v>599752</v>
      </c>
    </row>
    <row r="147" spans="1:5" hidden="1" x14ac:dyDescent="0.3">
      <c r="A147" t="s">
        <v>41</v>
      </c>
      <c r="B147" s="3">
        <v>46054</v>
      </c>
      <c r="C147">
        <v>14600</v>
      </c>
      <c r="D147">
        <f t="shared" si="2"/>
        <v>61979</v>
      </c>
      <c r="E147">
        <v>76579</v>
      </c>
    </row>
    <row r="148" spans="1:5" hidden="1" x14ac:dyDescent="0.3">
      <c r="A148" t="s">
        <v>42</v>
      </c>
      <c r="B148" s="3">
        <v>46054</v>
      </c>
      <c r="C148">
        <v>177810</v>
      </c>
      <c r="D148">
        <f t="shared" si="2"/>
        <v>650822</v>
      </c>
      <c r="E148">
        <v>828632</v>
      </c>
    </row>
    <row r="149" spans="1:5" hidden="1" x14ac:dyDescent="0.3">
      <c r="A149" t="s">
        <v>43</v>
      </c>
      <c r="B149" s="3">
        <v>46054</v>
      </c>
      <c r="C149">
        <v>345824</v>
      </c>
      <c r="D149">
        <f t="shared" si="2"/>
        <v>2693121</v>
      </c>
      <c r="E149">
        <v>3038945</v>
      </c>
    </row>
    <row r="150" spans="1:5" hidden="1" x14ac:dyDescent="0.3">
      <c r="A150" t="s">
        <v>44</v>
      </c>
      <c r="B150" s="3">
        <v>46054</v>
      </c>
      <c r="C150">
        <v>34682</v>
      </c>
      <c r="D150">
        <f t="shared" si="2"/>
        <v>129137</v>
      </c>
      <c r="E150">
        <v>163819</v>
      </c>
    </row>
    <row r="151" spans="1:5" hidden="1" x14ac:dyDescent="0.3">
      <c r="A151" t="s">
        <v>45</v>
      </c>
      <c r="B151" s="3">
        <v>46054</v>
      </c>
      <c r="C151">
        <v>190873</v>
      </c>
      <c r="D151">
        <f t="shared" si="2"/>
        <v>602188</v>
      </c>
      <c r="E151">
        <v>793061</v>
      </c>
    </row>
    <row r="152" spans="1:5" hidden="1" x14ac:dyDescent="0.3">
      <c r="A152" t="s">
        <v>46</v>
      </c>
      <c r="B152" s="3">
        <v>46054</v>
      </c>
      <c r="C152">
        <v>5466</v>
      </c>
      <c r="D152">
        <f t="shared" si="2"/>
        <v>51783</v>
      </c>
      <c r="E152">
        <v>57249</v>
      </c>
    </row>
    <row r="153" spans="1:5" hidden="1" x14ac:dyDescent="0.3">
      <c r="A153" t="s">
        <v>47</v>
      </c>
      <c r="B153" s="3">
        <v>46054</v>
      </c>
      <c r="C153">
        <v>65723</v>
      </c>
      <c r="D153">
        <f t="shared" si="2"/>
        <v>750591</v>
      </c>
      <c r="E153">
        <v>816314</v>
      </c>
    </row>
    <row r="154" spans="1:5" hidden="1" x14ac:dyDescent="0.3">
      <c r="A154" t="s">
        <v>48</v>
      </c>
      <c r="B154" s="3">
        <v>46054</v>
      </c>
      <c r="C154">
        <v>100048</v>
      </c>
      <c r="D154">
        <f t="shared" si="2"/>
        <v>436255</v>
      </c>
      <c r="E154">
        <v>536303</v>
      </c>
    </row>
    <row r="155" spans="1:5" hidden="1" x14ac:dyDescent="0.3">
      <c r="A155" t="s">
        <v>49</v>
      </c>
      <c r="B155" s="3">
        <v>46054</v>
      </c>
      <c r="C155">
        <v>39865</v>
      </c>
      <c r="D155">
        <f t="shared" si="2"/>
        <v>154098</v>
      </c>
      <c r="E155">
        <v>193963</v>
      </c>
    </row>
    <row r="156" spans="1:5" hidden="1" x14ac:dyDescent="0.3">
      <c r="A156" t="s">
        <v>50</v>
      </c>
      <c r="B156" s="3">
        <v>46054</v>
      </c>
      <c r="C156">
        <v>5981</v>
      </c>
      <c r="D156">
        <f t="shared" si="2"/>
        <v>34019</v>
      </c>
      <c r="E156">
        <v>40000</v>
      </c>
    </row>
    <row r="157" spans="1:5" hidden="1" x14ac:dyDescent="0.3">
      <c r="A157" s="1" t="s">
        <v>63</v>
      </c>
      <c r="B157" s="8">
        <v>46054</v>
      </c>
      <c r="C157" s="1">
        <f>SUM(C106:C156)</f>
        <v>7227658</v>
      </c>
      <c r="D157" s="1">
        <f t="shared" si="2"/>
        <v>28446120</v>
      </c>
      <c r="E157" s="1">
        <f>SUM(E106:E156)</f>
        <v>35673778</v>
      </c>
    </row>
    <row r="158" spans="1:5" hidden="1" x14ac:dyDescent="0.3">
      <c r="A158" t="s">
        <v>0</v>
      </c>
      <c r="B158" s="3">
        <v>46082</v>
      </c>
      <c r="C158">
        <v>12843</v>
      </c>
      <c r="D158">
        <f t="shared" si="2"/>
        <v>71801</v>
      </c>
      <c r="E158">
        <v>84644</v>
      </c>
    </row>
    <row r="159" spans="1:5" hidden="1" x14ac:dyDescent="0.3">
      <c r="A159" t="s">
        <v>1</v>
      </c>
      <c r="B159" s="3">
        <v>46082</v>
      </c>
      <c r="C159">
        <v>197501</v>
      </c>
      <c r="D159">
        <f t="shared" si="2"/>
        <v>473835</v>
      </c>
      <c r="E159">
        <v>671336</v>
      </c>
    </row>
    <row r="160" spans="1:5" hidden="1" x14ac:dyDescent="0.3">
      <c r="A160" t="s">
        <v>2</v>
      </c>
      <c r="B160" s="3">
        <v>46082</v>
      </c>
      <c r="C160">
        <v>83573</v>
      </c>
      <c r="D160">
        <f t="shared" si="2"/>
        <v>315638</v>
      </c>
      <c r="E160">
        <v>399211</v>
      </c>
    </row>
    <row r="161" spans="1:5" hidden="1" x14ac:dyDescent="0.3">
      <c r="A161" t="s">
        <v>3</v>
      </c>
      <c r="B161" s="3">
        <v>46082</v>
      </c>
      <c r="C161">
        <v>110570</v>
      </c>
      <c r="D161">
        <f t="shared" si="2"/>
        <v>607087</v>
      </c>
      <c r="E161">
        <v>717657</v>
      </c>
    </row>
    <row r="162" spans="1:5" hidden="1" x14ac:dyDescent="0.3">
      <c r="A162" t="s">
        <v>4</v>
      </c>
      <c r="B162" s="3">
        <v>46082</v>
      </c>
      <c r="C162">
        <v>1245606</v>
      </c>
      <c r="D162">
        <f t="shared" si="2"/>
        <v>3276885</v>
      </c>
      <c r="E162">
        <v>4522491</v>
      </c>
    </row>
    <row r="163" spans="1:5" hidden="1" x14ac:dyDescent="0.3">
      <c r="A163" t="s">
        <v>5</v>
      </c>
      <c r="B163" s="3">
        <v>46082</v>
      </c>
      <c r="C163">
        <v>139287</v>
      </c>
      <c r="D163">
        <f t="shared" si="2"/>
        <v>385198</v>
      </c>
      <c r="E163">
        <v>524485</v>
      </c>
    </row>
    <row r="164" spans="1:5" hidden="1" x14ac:dyDescent="0.3">
      <c r="A164" t="s">
        <v>6</v>
      </c>
      <c r="B164" s="3">
        <v>46082</v>
      </c>
      <c r="C164">
        <v>25649</v>
      </c>
      <c r="D164">
        <f t="shared" si="2"/>
        <v>338003</v>
      </c>
      <c r="E164">
        <v>363652</v>
      </c>
    </row>
    <row r="165" spans="1:5" hidden="1" x14ac:dyDescent="0.3">
      <c r="A165" t="s">
        <v>7</v>
      </c>
      <c r="B165" s="3">
        <v>46082</v>
      </c>
      <c r="C165">
        <v>15890</v>
      </c>
      <c r="D165">
        <f t="shared" si="2"/>
        <v>77324</v>
      </c>
      <c r="E165">
        <v>93214</v>
      </c>
    </row>
    <row r="166" spans="1:5" hidden="1" x14ac:dyDescent="0.3">
      <c r="A166" t="s">
        <v>8</v>
      </c>
      <c r="B166" s="3">
        <v>46082</v>
      </c>
      <c r="C166">
        <v>13899</v>
      </c>
      <c r="D166">
        <f t="shared" si="2"/>
        <v>91459</v>
      </c>
      <c r="E166">
        <v>105358</v>
      </c>
    </row>
    <row r="167" spans="1:5" hidden="1" x14ac:dyDescent="0.3">
      <c r="A167" t="s">
        <v>9</v>
      </c>
      <c r="B167" s="3">
        <v>46082</v>
      </c>
      <c r="C167">
        <v>168078</v>
      </c>
      <c r="D167">
        <f t="shared" si="2"/>
        <v>2126301</v>
      </c>
      <c r="E167">
        <v>2294379</v>
      </c>
    </row>
    <row r="168" spans="1:5" hidden="1" x14ac:dyDescent="0.3">
      <c r="A168" t="s">
        <v>10</v>
      </c>
      <c r="B168" s="3">
        <v>46082</v>
      </c>
      <c r="C168">
        <v>182283</v>
      </c>
      <c r="D168">
        <f t="shared" si="2"/>
        <v>1111894</v>
      </c>
      <c r="E168">
        <v>1294177</v>
      </c>
    </row>
    <row r="169" spans="1:5" hidden="1" x14ac:dyDescent="0.3">
      <c r="A169" t="s">
        <v>11</v>
      </c>
      <c r="B169" s="3">
        <v>46082</v>
      </c>
      <c r="C169">
        <v>25695</v>
      </c>
      <c r="D169">
        <f t="shared" si="2"/>
        <v>128062</v>
      </c>
      <c r="E169">
        <v>153757</v>
      </c>
    </row>
    <row r="170" spans="1:5" hidden="1" x14ac:dyDescent="0.3">
      <c r="A170" t="s">
        <v>12</v>
      </c>
      <c r="B170" s="3">
        <v>46082</v>
      </c>
      <c r="C170">
        <v>84083</v>
      </c>
      <c r="D170">
        <f t="shared" si="2"/>
        <v>248265</v>
      </c>
      <c r="E170">
        <v>332348</v>
      </c>
    </row>
    <row r="171" spans="1:5" hidden="1" x14ac:dyDescent="0.3">
      <c r="A171" t="s">
        <v>13</v>
      </c>
      <c r="B171" s="3">
        <v>46082</v>
      </c>
      <c r="C171">
        <v>19785</v>
      </c>
      <c r="D171">
        <f t="shared" si="2"/>
        <v>132957</v>
      </c>
      <c r="E171">
        <v>152742</v>
      </c>
    </row>
    <row r="172" spans="1:5" hidden="1" x14ac:dyDescent="0.3">
      <c r="A172" t="s">
        <v>14</v>
      </c>
      <c r="B172" s="3">
        <v>46082</v>
      </c>
      <c r="C172">
        <v>319643</v>
      </c>
      <c r="D172">
        <f t="shared" si="2"/>
        <v>1020895</v>
      </c>
      <c r="E172">
        <v>1340538</v>
      </c>
    </row>
    <row r="173" spans="1:5" hidden="1" x14ac:dyDescent="0.3">
      <c r="A173" t="s">
        <v>15</v>
      </c>
      <c r="B173" s="3">
        <v>46082</v>
      </c>
      <c r="C173">
        <v>118614</v>
      </c>
      <c r="D173">
        <f t="shared" si="2"/>
        <v>553540</v>
      </c>
      <c r="E173">
        <v>672154</v>
      </c>
    </row>
    <row r="174" spans="1:5" hidden="1" x14ac:dyDescent="0.3">
      <c r="A174" t="s">
        <v>16</v>
      </c>
      <c r="B174" s="3">
        <v>46082</v>
      </c>
      <c r="C174">
        <v>71964</v>
      </c>
      <c r="D174">
        <f t="shared" si="2"/>
        <v>203788</v>
      </c>
      <c r="E174">
        <v>275752</v>
      </c>
    </row>
    <row r="175" spans="1:5" hidden="1" x14ac:dyDescent="0.3">
      <c r="A175" t="s">
        <v>17</v>
      </c>
      <c r="B175" s="3">
        <v>46082</v>
      </c>
      <c r="C175">
        <v>125960</v>
      </c>
      <c r="D175">
        <f t="shared" si="2"/>
        <v>450131</v>
      </c>
      <c r="E175">
        <v>576091</v>
      </c>
    </row>
    <row r="176" spans="1:5" hidden="1" x14ac:dyDescent="0.3">
      <c r="A176" t="s">
        <v>18</v>
      </c>
      <c r="B176" s="3">
        <v>46082</v>
      </c>
      <c r="C176">
        <v>136772</v>
      </c>
      <c r="D176">
        <f t="shared" si="2"/>
        <v>532637</v>
      </c>
      <c r="E176">
        <v>669409</v>
      </c>
    </row>
    <row r="177" spans="1:5" hidden="1" x14ac:dyDescent="0.3">
      <c r="A177" t="s">
        <v>19</v>
      </c>
      <c r="B177" s="3">
        <v>46082</v>
      </c>
      <c r="C177">
        <v>178999</v>
      </c>
      <c r="D177">
        <f t="shared" si="2"/>
        <v>490210</v>
      </c>
      <c r="E177">
        <v>669209</v>
      </c>
    </row>
    <row r="178" spans="1:5" hidden="1" x14ac:dyDescent="0.3">
      <c r="A178" t="s">
        <v>20</v>
      </c>
      <c r="B178" s="3">
        <v>46082</v>
      </c>
      <c r="C178">
        <v>195018</v>
      </c>
      <c r="D178">
        <f t="shared" si="2"/>
        <v>469939</v>
      </c>
      <c r="E178">
        <v>664957</v>
      </c>
    </row>
    <row r="179" spans="1:5" hidden="1" x14ac:dyDescent="0.3">
      <c r="A179" t="s">
        <v>21</v>
      </c>
      <c r="B179" s="3">
        <v>46082</v>
      </c>
      <c r="C179">
        <v>20928</v>
      </c>
      <c r="D179">
        <f t="shared" si="2"/>
        <v>117349</v>
      </c>
      <c r="E179">
        <v>138277</v>
      </c>
    </row>
    <row r="180" spans="1:5" hidden="1" x14ac:dyDescent="0.3">
      <c r="A180" t="s">
        <v>22</v>
      </c>
      <c r="B180" s="3">
        <v>46082</v>
      </c>
      <c r="C180">
        <v>167017</v>
      </c>
      <c r="D180">
        <f t="shared" si="2"/>
        <v>715034</v>
      </c>
      <c r="E180">
        <v>882051</v>
      </c>
    </row>
    <row r="181" spans="1:5" hidden="1" x14ac:dyDescent="0.3">
      <c r="A181" t="s">
        <v>23</v>
      </c>
      <c r="B181" s="3">
        <v>46082</v>
      </c>
      <c r="C181">
        <v>4037</v>
      </c>
      <c r="D181">
        <f t="shared" si="2"/>
        <v>591521</v>
      </c>
      <c r="E181">
        <v>595558</v>
      </c>
    </row>
    <row r="182" spans="1:5" hidden="1" x14ac:dyDescent="0.3">
      <c r="A182" t="s">
        <v>24</v>
      </c>
      <c r="B182" s="3">
        <v>46082</v>
      </c>
      <c r="C182">
        <v>135843</v>
      </c>
      <c r="D182">
        <f t="shared" si="2"/>
        <v>431418</v>
      </c>
      <c r="E182">
        <v>567261</v>
      </c>
    </row>
    <row r="183" spans="1:5" hidden="1" x14ac:dyDescent="0.3">
      <c r="A183" t="s">
        <v>25</v>
      </c>
      <c r="B183" s="3">
        <v>46082</v>
      </c>
      <c r="C183">
        <v>83253</v>
      </c>
      <c r="D183">
        <f t="shared" si="2"/>
        <v>307523</v>
      </c>
      <c r="E183">
        <v>390776</v>
      </c>
    </row>
    <row r="184" spans="1:5" hidden="1" x14ac:dyDescent="0.3">
      <c r="A184" t="s">
        <v>26</v>
      </c>
      <c r="B184" s="3">
        <v>46082</v>
      </c>
      <c r="C184">
        <v>20037</v>
      </c>
      <c r="D184">
        <f t="shared" si="2"/>
        <v>69288</v>
      </c>
      <c r="E184">
        <v>89325</v>
      </c>
    </row>
    <row r="185" spans="1:5" hidden="1" x14ac:dyDescent="0.3">
      <c r="A185" t="s">
        <v>27</v>
      </c>
      <c r="B185" s="3">
        <v>46082</v>
      </c>
      <c r="C185">
        <v>347117</v>
      </c>
      <c r="D185">
        <f t="shared" si="2"/>
        <v>1045782</v>
      </c>
      <c r="E185">
        <v>1392899</v>
      </c>
    </row>
    <row r="186" spans="1:5" hidden="1" x14ac:dyDescent="0.3">
      <c r="A186" t="s">
        <v>28</v>
      </c>
      <c r="B186" s="3">
        <v>46082</v>
      </c>
      <c r="C186">
        <v>5417</v>
      </c>
      <c r="D186">
        <f t="shared" si="2"/>
        <v>45314</v>
      </c>
      <c r="E186">
        <v>50731</v>
      </c>
    </row>
    <row r="187" spans="1:5" hidden="1" x14ac:dyDescent="0.3">
      <c r="A187" t="s">
        <v>29</v>
      </c>
      <c r="B187" s="3">
        <v>46082</v>
      </c>
      <c r="C187">
        <v>37455</v>
      </c>
      <c r="D187">
        <f t="shared" si="2"/>
        <v>134297</v>
      </c>
      <c r="E187">
        <v>171752</v>
      </c>
    </row>
    <row r="188" spans="1:5" hidden="1" x14ac:dyDescent="0.3">
      <c r="A188" t="s">
        <v>30</v>
      </c>
      <c r="B188" s="3">
        <v>46082</v>
      </c>
      <c r="C188">
        <v>18943</v>
      </c>
      <c r="D188">
        <f t="shared" si="2"/>
        <v>66206</v>
      </c>
      <c r="E188">
        <v>85149</v>
      </c>
    </row>
    <row r="189" spans="1:5" hidden="1" x14ac:dyDescent="0.3">
      <c r="A189" t="s">
        <v>31</v>
      </c>
      <c r="B189" s="3">
        <v>46082</v>
      </c>
      <c r="C189">
        <v>257103</v>
      </c>
      <c r="D189">
        <f t="shared" si="2"/>
        <v>544875</v>
      </c>
      <c r="E189">
        <v>801978</v>
      </c>
    </row>
    <row r="190" spans="1:5" hidden="1" x14ac:dyDescent="0.3">
      <c r="A190" t="s">
        <v>32</v>
      </c>
      <c r="B190" s="3">
        <v>46082</v>
      </c>
      <c r="C190">
        <v>44111</v>
      </c>
      <c r="D190">
        <f t="shared" si="2"/>
        <v>262935</v>
      </c>
      <c r="E190">
        <v>307046</v>
      </c>
    </row>
    <row r="191" spans="1:5" hidden="1" x14ac:dyDescent="0.3">
      <c r="A191" t="s">
        <v>33</v>
      </c>
      <c r="B191" s="3">
        <v>46082</v>
      </c>
      <c r="C191">
        <v>46879</v>
      </c>
      <c r="D191">
        <f t="shared" si="2"/>
        <v>279179</v>
      </c>
      <c r="E191">
        <v>326058</v>
      </c>
    </row>
    <row r="192" spans="1:5" hidden="1" x14ac:dyDescent="0.3">
      <c r="A192" t="s">
        <v>34</v>
      </c>
      <c r="B192" s="3">
        <v>46082</v>
      </c>
      <c r="C192">
        <v>652991</v>
      </c>
      <c r="D192">
        <f t="shared" si="2"/>
        <v>1781246</v>
      </c>
      <c r="E192">
        <v>2434237</v>
      </c>
    </row>
    <row r="193" spans="1:5" hidden="1" x14ac:dyDescent="0.3">
      <c r="A193" t="s">
        <v>35</v>
      </c>
      <c r="B193" s="3">
        <v>46082</v>
      </c>
      <c r="C193">
        <v>237707</v>
      </c>
      <c r="D193">
        <f t="shared" si="2"/>
        <v>904604</v>
      </c>
      <c r="E193">
        <v>1142311</v>
      </c>
    </row>
    <row r="194" spans="1:5" hidden="1" x14ac:dyDescent="0.3">
      <c r="A194" t="s">
        <v>36</v>
      </c>
      <c r="B194" s="3">
        <v>46082</v>
      </c>
      <c r="C194">
        <v>83566</v>
      </c>
      <c r="D194">
        <f t="shared" si="2"/>
        <v>418210</v>
      </c>
      <c r="E194">
        <v>501776</v>
      </c>
    </row>
    <row r="195" spans="1:5" hidden="1" x14ac:dyDescent="0.3">
      <c r="A195" t="s">
        <v>37</v>
      </c>
      <c r="B195" s="3">
        <v>46082</v>
      </c>
      <c r="C195">
        <v>182349</v>
      </c>
      <c r="D195">
        <f t="shared" ref="D195:D258" si="3">E195-C195</f>
        <v>287131</v>
      </c>
      <c r="E195">
        <v>469480</v>
      </c>
    </row>
    <row r="196" spans="1:5" hidden="1" x14ac:dyDescent="0.3">
      <c r="A196" t="s">
        <v>38</v>
      </c>
      <c r="B196" s="3">
        <v>46082</v>
      </c>
      <c r="C196">
        <v>280272</v>
      </c>
      <c r="D196">
        <f t="shared" si="3"/>
        <v>1126906</v>
      </c>
      <c r="E196">
        <v>1407178</v>
      </c>
    </row>
    <row r="197" spans="1:5" hidden="1" x14ac:dyDescent="0.3">
      <c r="A197" t="s">
        <v>39</v>
      </c>
      <c r="B197" s="3">
        <v>46082</v>
      </c>
      <c r="C197">
        <v>34526</v>
      </c>
      <c r="D197">
        <f t="shared" si="3"/>
        <v>82702</v>
      </c>
      <c r="E197">
        <v>117228</v>
      </c>
    </row>
    <row r="198" spans="1:5" hidden="1" x14ac:dyDescent="0.3">
      <c r="A198" t="s">
        <v>40</v>
      </c>
      <c r="B198" s="3">
        <v>46082</v>
      </c>
      <c r="C198">
        <v>112772</v>
      </c>
      <c r="D198">
        <f t="shared" si="3"/>
        <v>484511</v>
      </c>
      <c r="E198">
        <v>597283</v>
      </c>
    </row>
    <row r="199" spans="1:5" hidden="1" x14ac:dyDescent="0.3">
      <c r="A199" t="s">
        <v>41</v>
      </c>
      <c r="B199" s="3">
        <v>46082</v>
      </c>
      <c r="C199">
        <v>14739</v>
      </c>
      <c r="D199">
        <f t="shared" si="3"/>
        <v>62605</v>
      </c>
      <c r="E199">
        <v>77344</v>
      </c>
    </row>
    <row r="200" spans="1:5" hidden="1" x14ac:dyDescent="0.3">
      <c r="A200" t="s">
        <v>42</v>
      </c>
      <c r="B200" s="3">
        <v>46082</v>
      </c>
      <c r="C200">
        <v>180842</v>
      </c>
      <c r="D200">
        <f t="shared" si="3"/>
        <v>641137</v>
      </c>
      <c r="E200">
        <v>821979</v>
      </c>
    </row>
    <row r="201" spans="1:5" hidden="1" x14ac:dyDescent="0.3">
      <c r="A201" t="s">
        <v>43</v>
      </c>
      <c r="B201" s="3">
        <v>46082</v>
      </c>
      <c r="C201">
        <v>334075</v>
      </c>
      <c r="D201">
        <f t="shared" si="3"/>
        <v>2694110</v>
      </c>
      <c r="E201">
        <v>3028185</v>
      </c>
    </row>
    <row r="202" spans="1:5" hidden="1" x14ac:dyDescent="0.3">
      <c r="A202" t="s">
        <v>44</v>
      </c>
      <c r="B202" s="3">
        <v>46082</v>
      </c>
      <c r="C202">
        <v>34610</v>
      </c>
      <c r="D202">
        <f t="shared" si="3"/>
        <v>128416</v>
      </c>
      <c r="E202">
        <v>163026</v>
      </c>
    </row>
    <row r="203" spans="1:5" hidden="1" x14ac:dyDescent="0.3">
      <c r="A203" t="s">
        <v>45</v>
      </c>
      <c r="B203" s="3">
        <v>46082</v>
      </c>
      <c r="C203">
        <v>190582</v>
      </c>
      <c r="D203">
        <f t="shared" si="3"/>
        <v>601390</v>
      </c>
      <c r="E203">
        <v>791972</v>
      </c>
    </row>
    <row r="204" spans="1:5" hidden="1" x14ac:dyDescent="0.3">
      <c r="A204" t="s">
        <v>46</v>
      </c>
      <c r="B204" s="3">
        <v>46082</v>
      </c>
      <c r="C204">
        <v>5505</v>
      </c>
      <c r="D204">
        <f t="shared" si="3"/>
        <v>51457</v>
      </c>
      <c r="E204">
        <v>56962</v>
      </c>
    </row>
    <row r="205" spans="1:5" hidden="1" x14ac:dyDescent="0.3">
      <c r="A205" t="s">
        <v>47</v>
      </c>
      <c r="B205" s="3">
        <v>46082</v>
      </c>
      <c r="C205">
        <v>66336</v>
      </c>
      <c r="D205">
        <f t="shared" si="3"/>
        <v>748785</v>
      </c>
      <c r="E205">
        <v>815121</v>
      </c>
    </row>
    <row r="206" spans="1:5" hidden="1" x14ac:dyDescent="0.3">
      <c r="A206" t="s">
        <v>48</v>
      </c>
      <c r="B206" s="3">
        <v>46082</v>
      </c>
      <c r="C206">
        <v>96751</v>
      </c>
      <c r="D206">
        <f t="shared" si="3"/>
        <v>438730</v>
      </c>
      <c r="E206">
        <v>535481</v>
      </c>
    </row>
    <row r="207" spans="1:5" hidden="1" x14ac:dyDescent="0.3">
      <c r="A207" t="s">
        <v>49</v>
      </c>
      <c r="B207" s="3">
        <v>46082</v>
      </c>
      <c r="C207">
        <v>39754</v>
      </c>
      <c r="D207">
        <f t="shared" si="3"/>
        <v>153271</v>
      </c>
      <c r="E207">
        <v>193025</v>
      </c>
    </row>
    <row r="208" spans="1:5" hidden="1" x14ac:dyDescent="0.3">
      <c r="A208" t="s">
        <v>50</v>
      </c>
      <c r="B208" s="3">
        <v>46082</v>
      </c>
      <c r="C208">
        <v>6152</v>
      </c>
      <c r="D208">
        <f t="shared" si="3"/>
        <v>35713</v>
      </c>
      <c r="E208">
        <v>41865</v>
      </c>
    </row>
    <row r="209" spans="1:5" hidden="1" x14ac:dyDescent="0.3">
      <c r="A209" s="1" t="s">
        <v>63</v>
      </c>
      <c r="B209" s="8">
        <v>46082</v>
      </c>
      <c r="C209" s="1">
        <f>SUM(C158:C208)</f>
        <v>7213381</v>
      </c>
      <c r="D209" s="1">
        <f t="shared" si="3"/>
        <v>28357494</v>
      </c>
      <c r="E209" s="1">
        <f>SUM(E158:E208)</f>
        <v>35570875</v>
      </c>
    </row>
    <row r="210" spans="1:5" hidden="1" x14ac:dyDescent="0.3">
      <c r="A210" t="s">
        <v>0</v>
      </c>
      <c r="B210" s="3">
        <v>46113</v>
      </c>
      <c r="C210">
        <v>12740</v>
      </c>
      <c r="D210">
        <f t="shared" si="3"/>
        <v>71819</v>
      </c>
      <c r="E210">
        <v>84559</v>
      </c>
    </row>
    <row r="211" spans="1:5" hidden="1" x14ac:dyDescent="0.3">
      <c r="A211" t="s">
        <v>1</v>
      </c>
      <c r="B211" s="3">
        <v>46113</v>
      </c>
      <c r="C211">
        <v>198102</v>
      </c>
      <c r="D211">
        <f t="shared" si="3"/>
        <v>472692</v>
      </c>
      <c r="E211">
        <v>670794</v>
      </c>
    </row>
    <row r="212" spans="1:5" hidden="1" x14ac:dyDescent="0.3">
      <c r="A212" t="s">
        <v>2</v>
      </c>
      <c r="B212" s="3">
        <v>46113</v>
      </c>
      <c r="C212">
        <v>78477</v>
      </c>
      <c r="D212">
        <f t="shared" si="3"/>
        <v>320374</v>
      </c>
      <c r="E212">
        <v>398851</v>
      </c>
    </row>
    <row r="213" spans="1:5" hidden="1" x14ac:dyDescent="0.3">
      <c r="A213" t="s">
        <v>3</v>
      </c>
      <c r="B213" s="3">
        <v>46113</v>
      </c>
      <c r="C213">
        <v>109923</v>
      </c>
      <c r="D213">
        <f t="shared" si="3"/>
        <v>603674</v>
      </c>
      <c r="E213">
        <v>713597</v>
      </c>
    </row>
    <row r="214" spans="1:5" hidden="1" x14ac:dyDescent="0.3">
      <c r="A214" t="s">
        <v>4</v>
      </c>
      <c r="B214" s="3">
        <v>46113</v>
      </c>
      <c r="C214">
        <v>1249682</v>
      </c>
      <c r="D214">
        <f t="shared" si="3"/>
        <v>3238030</v>
      </c>
      <c r="E214">
        <v>4487712</v>
      </c>
    </row>
    <row r="215" spans="1:5" hidden="1" x14ac:dyDescent="0.3">
      <c r="A215" t="s">
        <v>5</v>
      </c>
      <c r="B215" s="3">
        <v>46113</v>
      </c>
      <c r="C215">
        <v>137972</v>
      </c>
      <c r="D215">
        <f t="shared" si="3"/>
        <v>388546</v>
      </c>
      <c r="E215">
        <v>526518</v>
      </c>
    </row>
    <row r="216" spans="1:5" hidden="1" x14ac:dyDescent="0.3">
      <c r="A216" t="s">
        <v>6</v>
      </c>
      <c r="B216" s="3">
        <v>46113</v>
      </c>
      <c r="C216">
        <v>25570</v>
      </c>
      <c r="D216">
        <f t="shared" si="3"/>
        <v>337449</v>
      </c>
      <c r="E216">
        <v>363019</v>
      </c>
    </row>
    <row r="217" spans="1:5" hidden="1" x14ac:dyDescent="0.3">
      <c r="A217" t="s">
        <v>7</v>
      </c>
      <c r="B217" s="3">
        <v>46113</v>
      </c>
      <c r="C217">
        <v>15713</v>
      </c>
      <c r="D217">
        <f t="shared" si="3"/>
        <v>77091</v>
      </c>
      <c r="E217">
        <v>92804</v>
      </c>
    </row>
    <row r="218" spans="1:5" hidden="1" x14ac:dyDescent="0.3">
      <c r="A218" t="s">
        <v>8</v>
      </c>
      <c r="B218" s="3">
        <v>46113</v>
      </c>
      <c r="C218">
        <v>13784</v>
      </c>
      <c r="D218">
        <f t="shared" si="3"/>
        <v>90849</v>
      </c>
      <c r="E218">
        <v>104633</v>
      </c>
    </row>
    <row r="219" spans="1:5" hidden="1" x14ac:dyDescent="0.3">
      <c r="A219" t="s">
        <v>9</v>
      </c>
      <c r="B219" s="3">
        <v>46113</v>
      </c>
      <c r="C219">
        <v>171606</v>
      </c>
      <c r="D219">
        <f t="shared" si="3"/>
        <v>2123101</v>
      </c>
      <c r="E219">
        <v>2294707</v>
      </c>
    </row>
    <row r="220" spans="1:5" hidden="1" x14ac:dyDescent="0.3">
      <c r="A220" t="s">
        <v>10</v>
      </c>
      <c r="B220" s="3">
        <v>46113</v>
      </c>
      <c r="C220">
        <v>174668</v>
      </c>
      <c r="D220">
        <f t="shared" si="3"/>
        <v>1114862</v>
      </c>
      <c r="E220">
        <v>1289530</v>
      </c>
    </row>
    <row r="221" spans="1:5" hidden="1" x14ac:dyDescent="0.3">
      <c r="A221" t="s">
        <v>11</v>
      </c>
      <c r="B221" s="3">
        <v>46113</v>
      </c>
      <c r="C221">
        <v>26010</v>
      </c>
      <c r="D221">
        <f t="shared" si="3"/>
        <v>128820</v>
      </c>
      <c r="E221">
        <v>154830</v>
      </c>
    </row>
    <row r="222" spans="1:5" hidden="1" x14ac:dyDescent="0.3">
      <c r="A222" t="s">
        <v>12</v>
      </c>
      <c r="B222" s="3">
        <v>46113</v>
      </c>
      <c r="C222">
        <v>83517</v>
      </c>
      <c r="D222">
        <f t="shared" si="3"/>
        <v>248461</v>
      </c>
      <c r="E222">
        <v>331978</v>
      </c>
    </row>
    <row r="223" spans="1:5" hidden="1" x14ac:dyDescent="0.3">
      <c r="A223" t="s">
        <v>13</v>
      </c>
      <c r="B223" s="3">
        <v>46113</v>
      </c>
      <c r="C223">
        <v>19597</v>
      </c>
      <c r="D223">
        <f t="shared" si="3"/>
        <v>132131</v>
      </c>
      <c r="E223">
        <v>151728</v>
      </c>
    </row>
    <row r="224" spans="1:5" hidden="1" x14ac:dyDescent="0.3">
      <c r="A224" t="s">
        <v>14</v>
      </c>
      <c r="B224" s="3">
        <v>46113</v>
      </c>
      <c r="C224">
        <v>304742</v>
      </c>
      <c r="D224">
        <f t="shared" si="3"/>
        <v>1030809</v>
      </c>
      <c r="E224">
        <v>1335551</v>
      </c>
    </row>
    <row r="225" spans="1:5" hidden="1" x14ac:dyDescent="0.3">
      <c r="A225" t="s">
        <v>15</v>
      </c>
      <c r="B225" s="3">
        <v>46113</v>
      </c>
      <c r="C225">
        <v>117023</v>
      </c>
      <c r="D225">
        <f t="shared" si="3"/>
        <v>542212</v>
      </c>
      <c r="E225">
        <v>659235</v>
      </c>
    </row>
    <row r="226" spans="1:5" hidden="1" x14ac:dyDescent="0.3">
      <c r="A226" t="s">
        <v>16</v>
      </c>
      <c r="B226" s="3">
        <v>46113</v>
      </c>
      <c r="C226">
        <v>70832</v>
      </c>
      <c r="D226">
        <f t="shared" si="3"/>
        <v>200127</v>
      </c>
      <c r="E226">
        <v>270959</v>
      </c>
    </row>
    <row r="227" spans="1:5" hidden="1" x14ac:dyDescent="0.3">
      <c r="A227" t="s">
        <v>17</v>
      </c>
      <c r="B227" s="3">
        <v>46113</v>
      </c>
      <c r="C227">
        <v>119910</v>
      </c>
      <c r="D227">
        <f t="shared" si="3"/>
        <v>446239</v>
      </c>
      <c r="E227">
        <v>566149</v>
      </c>
    </row>
    <row r="228" spans="1:5" hidden="1" x14ac:dyDescent="0.3">
      <c r="A228" t="s">
        <v>18</v>
      </c>
      <c r="B228" s="3">
        <v>46113</v>
      </c>
      <c r="C228">
        <v>131808</v>
      </c>
      <c r="D228">
        <f t="shared" si="3"/>
        <v>515076</v>
      </c>
      <c r="E228">
        <v>646884</v>
      </c>
    </row>
    <row r="229" spans="1:5" hidden="1" x14ac:dyDescent="0.3">
      <c r="A229" t="s">
        <v>19</v>
      </c>
      <c r="B229" s="3">
        <v>46113</v>
      </c>
      <c r="C229">
        <v>174695</v>
      </c>
      <c r="D229">
        <f t="shared" si="3"/>
        <v>487563</v>
      </c>
      <c r="E229">
        <v>662258</v>
      </c>
    </row>
    <row r="230" spans="1:5" hidden="1" x14ac:dyDescent="0.3">
      <c r="A230" t="s">
        <v>20</v>
      </c>
      <c r="B230" s="3">
        <v>46113</v>
      </c>
      <c r="C230">
        <v>196326</v>
      </c>
      <c r="D230">
        <f t="shared" si="3"/>
        <v>467444</v>
      </c>
      <c r="E230">
        <v>663770</v>
      </c>
    </row>
    <row r="231" spans="1:5" hidden="1" x14ac:dyDescent="0.3">
      <c r="A231" t="s">
        <v>21</v>
      </c>
      <c r="B231" s="3">
        <v>46113</v>
      </c>
      <c r="C231">
        <v>19858</v>
      </c>
      <c r="D231">
        <f t="shared" si="3"/>
        <v>118190</v>
      </c>
      <c r="E231">
        <v>138048</v>
      </c>
    </row>
    <row r="232" spans="1:5" hidden="1" x14ac:dyDescent="0.3">
      <c r="A232" t="s">
        <v>22</v>
      </c>
      <c r="B232" s="3">
        <v>46113</v>
      </c>
      <c r="C232">
        <v>165309</v>
      </c>
      <c r="D232">
        <f t="shared" si="3"/>
        <v>708103</v>
      </c>
      <c r="E232">
        <v>873412</v>
      </c>
    </row>
    <row r="233" spans="1:5" hidden="1" x14ac:dyDescent="0.3">
      <c r="A233" t="s">
        <v>23</v>
      </c>
      <c r="B233" s="3">
        <v>46113</v>
      </c>
      <c r="C233">
        <v>3968</v>
      </c>
      <c r="D233">
        <f t="shared" si="3"/>
        <v>590911</v>
      </c>
      <c r="E233">
        <v>594879</v>
      </c>
    </row>
    <row r="234" spans="1:5" hidden="1" x14ac:dyDescent="0.3">
      <c r="A234" t="s">
        <v>24</v>
      </c>
      <c r="B234" s="3">
        <v>46113</v>
      </c>
      <c r="C234">
        <v>132415</v>
      </c>
      <c r="D234">
        <f t="shared" si="3"/>
        <v>433982</v>
      </c>
      <c r="E234">
        <v>566397</v>
      </c>
    </row>
    <row r="235" spans="1:5" hidden="1" x14ac:dyDescent="0.3">
      <c r="A235" t="s">
        <v>25</v>
      </c>
      <c r="B235" s="3">
        <v>46113</v>
      </c>
      <c r="C235">
        <v>83125</v>
      </c>
      <c r="D235">
        <f t="shared" si="3"/>
        <v>306455</v>
      </c>
      <c r="E235">
        <v>389580</v>
      </c>
    </row>
    <row r="236" spans="1:5" hidden="1" x14ac:dyDescent="0.3">
      <c r="A236" t="s">
        <v>26</v>
      </c>
      <c r="B236" s="3">
        <v>46113</v>
      </c>
      <c r="C236">
        <v>19544</v>
      </c>
      <c r="D236">
        <f t="shared" si="3"/>
        <v>67544</v>
      </c>
      <c r="E236">
        <v>87088</v>
      </c>
    </row>
    <row r="237" spans="1:5" hidden="1" x14ac:dyDescent="0.3">
      <c r="A237" t="s">
        <v>27</v>
      </c>
      <c r="B237" s="3">
        <v>46113</v>
      </c>
      <c r="C237">
        <v>349014</v>
      </c>
      <c r="D237">
        <f t="shared" si="3"/>
        <v>1031283</v>
      </c>
      <c r="E237">
        <v>1380297</v>
      </c>
    </row>
    <row r="238" spans="1:5" hidden="1" x14ac:dyDescent="0.3">
      <c r="A238" t="s">
        <v>28</v>
      </c>
      <c r="B238" s="3">
        <v>46113</v>
      </c>
      <c r="C238">
        <v>5410</v>
      </c>
      <c r="D238">
        <f t="shared" si="3"/>
        <v>45244</v>
      </c>
      <c r="E238">
        <v>50654</v>
      </c>
    </row>
    <row r="239" spans="1:5" hidden="1" x14ac:dyDescent="0.3">
      <c r="A239" t="s">
        <v>29</v>
      </c>
      <c r="B239" s="3">
        <v>46113</v>
      </c>
      <c r="C239">
        <v>35874</v>
      </c>
      <c r="D239">
        <f t="shared" si="3"/>
        <v>133785</v>
      </c>
      <c r="E239">
        <v>169659</v>
      </c>
    </row>
    <row r="240" spans="1:5" hidden="1" x14ac:dyDescent="0.3">
      <c r="A240" t="s">
        <v>30</v>
      </c>
      <c r="B240" s="3">
        <v>46113</v>
      </c>
      <c r="C240">
        <v>18915</v>
      </c>
      <c r="D240">
        <f t="shared" si="3"/>
        <v>66076</v>
      </c>
      <c r="E240">
        <v>84991</v>
      </c>
    </row>
    <row r="241" spans="1:5" hidden="1" x14ac:dyDescent="0.3">
      <c r="A241" t="s">
        <v>31</v>
      </c>
      <c r="B241" s="3">
        <v>46113</v>
      </c>
      <c r="C241">
        <v>261154</v>
      </c>
      <c r="D241">
        <f t="shared" si="3"/>
        <v>547526</v>
      </c>
      <c r="E241">
        <v>808680</v>
      </c>
    </row>
    <row r="242" spans="1:5" hidden="1" x14ac:dyDescent="0.3">
      <c r="A242" t="s">
        <v>32</v>
      </c>
      <c r="B242" s="3">
        <v>46113</v>
      </c>
      <c r="C242">
        <v>42494</v>
      </c>
      <c r="D242">
        <f t="shared" si="3"/>
        <v>264188</v>
      </c>
      <c r="E242">
        <v>306682</v>
      </c>
    </row>
    <row r="243" spans="1:5" hidden="1" x14ac:dyDescent="0.3">
      <c r="A243" t="s">
        <v>33</v>
      </c>
      <c r="B243" s="3">
        <v>46113</v>
      </c>
      <c r="C243">
        <v>46080</v>
      </c>
      <c r="D243">
        <f t="shared" si="3"/>
        <v>266697</v>
      </c>
      <c r="E243">
        <v>312777</v>
      </c>
    </row>
    <row r="244" spans="1:5" hidden="1" x14ac:dyDescent="0.3">
      <c r="A244" t="s">
        <v>34</v>
      </c>
      <c r="B244" s="3">
        <v>46113</v>
      </c>
      <c r="C244">
        <v>650335</v>
      </c>
      <c r="D244">
        <f t="shared" si="3"/>
        <v>1779024</v>
      </c>
      <c r="E244">
        <v>2429359</v>
      </c>
    </row>
    <row r="245" spans="1:5" hidden="1" x14ac:dyDescent="0.3">
      <c r="A245" t="s">
        <v>35</v>
      </c>
      <c r="B245" s="3">
        <v>46113</v>
      </c>
      <c r="C245">
        <v>232871</v>
      </c>
      <c r="D245">
        <f t="shared" si="3"/>
        <v>896895</v>
      </c>
      <c r="E245">
        <v>1129766</v>
      </c>
    </row>
    <row r="246" spans="1:5" hidden="1" x14ac:dyDescent="0.3">
      <c r="A246" t="s">
        <v>36</v>
      </c>
      <c r="B246" s="3">
        <v>46113</v>
      </c>
      <c r="C246">
        <v>81057</v>
      </c>
      <c r="D246">
        <f t="shared" si="3"/>
        <v>421620</v>
      </c>
      <c r="E246">
        <v>502677</v>
      </c>
    </row>
    <row r="247" spans="1:5" hidden="1" x14ac:dyDescent="0.3">
      <c r="A247" t="s">
        <v>37</v>
      </c>
      <c r="B247" s="3">
        <v>46113</v>
      </c>
      <c r="C247">
        <v>180746</v>
      </c>
      <c r="D247">
        <f t="shared" si="3"/>
        <v>287248</v>
      </c>
      <c r="E247">
        <v>467994</v>
      </c>
    </row>
    <row r="248" spans="1:5" hidden="1" x14ac:dyDescent="0.3">
      <c r="A248" t="s">
        <v>38</v>
      </c>
      <c r="B248" s="3">
        <v>46113</v>
      </c>
      <c r="C248">
        <v>277094</v>
      </c>
      <c r="D248">
        <f t="shared" si="3"/>
        <v>1123335</v>
      </c>
      <c r="E248">
        <v>1400429</v>
      </c>
    </row>
    <row r="249" spans="1:5" hidden="1" x14ac:dyDescent="0.3">
      <c r="A249" t="s">
        <v>39</v>
      </c>
      <c r="B249" s="3">
        <v>46113</v>
      </c>
      <c r="C249">
        <v>33766</v>
      </c>
      <c r="D249">
        <f t="shared" si="3"/>
        <v>82732</v>
      </c>
      <c r="E249">
        <v>116498</v>
      </c>
    </row>
    <row r="250" spans="1:5" hidden="1" x14ac:dyDescent="0.3">
      <c r="A250" t="s">
        <v>40</v>
      </c>
      <c r="B250" s="3">
        <v>46113</v>
      </c>
      <c r="C250">
        <v>112428</v>
      </c>
      <c r="D250">
        <f t="shared" si="3"/>
        <v>484874</v>
      </c>
      <c r="E250">
        <v>597302</v>
      </c>
    </row>
    <row r="251" spans="1:5" hidden="1" x14ac:dyDescent="0.3">
      <c r="A251" t="s">
        <v>41</v>
      </c>
      <c r="B251" s="3">
        <v>46113</v>
      </c>
      <c r="C251">
        <v>14453</v>
      </c>
      <c r="D251">
        <f t="shared" si="3"/>
        <v>61945</v>
      </c>
      <c r="E251">
        <v>76398</v>
      </c>
    </row>
    <row r="252" spans="1:5" hidden="1" x14ac:dyDescent="0.3">
      <c r="A252" t="s">
        <v>42</v>
      </c>
      <c r="B252" s="3">
        <v>46113</v>
      </c>
      <c r="C252">
        <v>181381</v>
      </c>
      <c r="D252">
        <f t="shared" si="3"/>
        <v>640928</v>
      </c>
      <c r="E252">
        <v>822309</v>
      </c>
    </row>
    <row r="253" spans="1:5" hidden="1" x14ac:dyDescent="0.3">
      <c r="A253" t="s">
        <v>43</v>
      </c>
      <c r="B253" s="3">
        <v>46113</v>
      </c>
      <c r="C253">
        <v>333003</v>
      </c>
      <c r="D253">
        <f t="shared" si="3"/>
        <v>2683769</v>
      </c>
      <c r="E253">
        <v>3016772</v>
      </c>
    </row>
    <row r="254" spans="1:5" hidden="1" x14ac:dyDescent="0.3">
      <c r="A254" t="s">
        <v>44</v>
      </c>
      <c r="B254" s="3">
        <v>46113</v>
      </c>
      <c r="C254">
        <v>34242</v>
      </c>
      <c r="D254">
        <f t="shared" si="3"/>
        <v>127477</v>
      </c>
      <c r="E254">
        <v>161719</v>
      </c>
    </row>
    <row r="255" spans="1:5" hidden="1" x14ac:dyDescent="0.3">
      <c r="A255" t="s">
        <v>45</v>
      </c>
      <c r="B255" s="3">
        <v>46113</v>
      </c>
      <c r="C255">
        <v>189054</v>
      </c>
      <c r="D255">
        <f t="shared" si="3"/>
        <v>600395</v>
      </c>
      <c r="E255">
        <v>789449</v>
      </c>
    </row>
    <row r="256" spans="1:5" hidden="1" x14ac:dyDescent="0.3">
      <c r="A256" t="s">
        <v>46</v>
      </c>
      <c r="B256" s="3">
        <v>46113</v>
      </c>
      <c r="C256">
        <v>5527</v>
      </c>
      <c r="D256">
        <f t="shared" si="3"/>
        <v>51196</v>
      </c>
      <c r="E256">
        <v>56723</v>
      </c>
    </row>
    <row r="257" spans="1:5" hidden="1" x14ac:dyDescent="0.3">
      <c r="A257" t="s">
        <v>47</v>
      </c>
      <c r="B257" s="3">
        <v>46113</v>
      </c>
      <c r="C257">
        <v>61666</v>
      </c>
      <c r="D257">
        <f t="shared" si="3"/>
        <v>752954</v>
      </c>
      <c r="E257">
        <v>814620</v>
      </c>
    </row>
    <row r="258" spans="1:5" hidden="1" x14ac:dyDescent="0.3">
      <c r="A258" t="s">
        <v>48</v>
      </c>
      <c r="B258" s="3">
        <v>46113</v>
      </c>
      <c r="C258">
        <v>97222</v>
      </c>
      <c r="D258">
        <f t="shared" si="3"/>
        <v>435349</v>
      </c>
      <c r="E258">
        <v>532571</v>
      </c>
    </row>
    <row r="259" spans="1:5" hidden="1" x14ac:dyDescent="0.3">
      <c r="A259" t="s">
        <v>49</v>
      </c>
      <c r="B259" s="3">
        <v>46113</v>
      </c>
      <c r="C259">
        <v>39040</v>
      </c>
      <c r="D259">
        <f t="shared" ref="D259:D260" si="4">E259-C259</f>
        <v>153779</v>
      </c>
      <c r="E259">
        <v>192819</v>
      </c>
    </row>
    <row r="260" spans="1:5" hidden="1" x14ac:dyDescent="0.3">
      <c r="A260" t="s">
        <v>50</v>
      </c>
      <c r="B260" s="3">
        <v>46113</v>
      </c>
      <c r="C260">
        <v>6065</v>
      </c>
      <c r="D260">
        <f t="shared" si="4"/>
        <v>34770</v>
      </c>
      <c r="E260">
        <v>40835</v>
      </c>
    </row>
    <row r="261" spans="1:5" hidden="1" x14ac:dyDescent="0.3">
      <c r="A261" s="1" t="s">
        <v>63</v>
      </c>
      <c r="B261" s="8">
        <v>46113</v>
      </c>
      <c r="C261" s="1">
        <f>SUM(C210:C260)</f>
        <v>7145807</v>
      </c>
      <c r="D261" s="1">
        <f>E261-C261</f>
        <v>28235643</v>
      </c>
      <c r="E261" s="1">
        <f>SUM(E210:E260)</f>
        <v>35381450</v>
      </c>
    </row>
    <row r="262" spans="1:5" hidden="1" x14ac:dyDescent="0.3">
      <c r="A262" t="s">
        <v>0</v>
      </c>
      <c r="B262" s="3">
        <v>46143</v>
      </c>
      <c r="C262">
        <v>12640</v>
      </c>
      <c r="D262">
        <f>E262-C262</f>
        <v>71309</v>
      </c>
      <c r="E262">
        <v>83949</v>
      </c>
    </row>
    <row r="263" spans="1:5" hidden="1" x14ac:dyDescent="0.3">
      <c r="A263" t="s">
        <v>1</v>
      </c>
      <c r="B263" s="3">
        <v>46143</v>
      </c>
      <c r="C263">
        <v>198835</v>
      </c>
      <c r="D263">
        <f t="shared" ref="D263:D312" si="5">E263-C263</f>
        <v>471097</v>
      </c>
      <c r="E263">
        <v>669932</v>
      </c>
    </row>
    <row r="264" spans="1:5" hidden="1" x14ac:dyDescent="0.3">
      <c r="A264" t="s">
        <v>2</v>
      </c>
      <c r="B264" s="3">
        <v>46143</v>
      </c>
      <c r="C264">
        <v>78483</v>
      </c>
      <c r="D264">
        <f t="shared" si="5"/>
        <v>320441</v>
      </c>
      <c r="E264">
        <v>398924</v>
      </c>
    </row>
    <row r="265" spans="1:5" hidden="1" x14ac:dyDescent="0.3">
      <c r="A265" t="s">
        <v>3</v>
      </c>
      <c r="B265" s="3">
        <v>46143</v>
      </c>
      <c r="C265">
        <v>110644</v>
      </c>
      <c r="D265">
        <f t="shared" si="5"/>
        <v>597417</v>
      </c>
      <c r="E265">
        <v>708061</v>
      </c>
    </row>
    <row r="266" spans="1:5" hidden="1" x14ac:dyDescent="0.3">
      <c r="A266" t="s">
        <v>4</v>
      </c>
      <c r="B266" s="3">
        <v>46143</v>
      </c>
      <c r="C266">
        <v>1256722</v>
      </c>
      <c r="D266">
        <f t="shared" si="5"/>
        <v>3219105</v>
      </c>
      <c r="E266">
        <v>4475827</v>
      </c>
    </row>
    <row r="267" spans="1:5" hidden="1" x14ac:dyDescent="0.3">
      <c r="A267" t="s">
        <v>5</v>
      </c>
      <c r="B267" s="3">
        <v>46143</v>
      </c>
      <c r="C267">
        <v>137849</v>
      </c>
      <c r="D267">
        <f t="shared" si="5"/>
        <v>387783</v>
      </c>
      <c r="E267">
        <v>525632</v>
      </c>
    </row>
    <row r="268" spans="1:5" hidden="1" x14ac:dyDescent="0.3">
      <c r="A268" t="s">
        <v>6</v>
      </c>
      <c r="B268" s="3">
        <v>46143</v>
      </c>
      <c r="C268">
        <v>25396</v>
      </c>
      <c r="D268">
        <f t="shared" si="5"/>
        <v>336952</v>
      </c>
      <c r="E268">
        <v>362348</v>
      </c>
    </row>
    <row r="269" spans="1:5" hidden="1" x14ac:dyDescent="0.3">
      <c r="A269" t="s">
        <v>7</v>
      </c>
      <c r="B269" s="3">
        <v>46143</v>
      </c>
      <c r="C269">
        <v>15626</v>
      </c>
      <c r="D269">
        <f t="shared" si="5"/>
        <v>76862</v>
      </c>
      <c r="E269">
        <v>92488</v>
      </c>
    </row>
    <row r="270" spans="1:5" hidden="1" x14ac:dyDescent="0.3">
      <c r="A270" t="s">
        <v>8</v>
      </c>
      <c r="B270" s="3">
        <v>46143</v>
      </c>
      <c r="C270">
        <v>13759</v>
      </c>
      <c r="D270">
        <f t="shared" si="5"/>
        <v>90394</v>
      </c>
      <c r="E270">
        <v>104153</v>
      </c>
    </row>
    <row r="271" spans="1:5" hidden="1" x14ac:dyDescent="0.3">
      <c r="A271" t="s">
        <v>9</v>
      </c>
      <c r="B271" s="3">
        <v>46143</v>
      </c>
      <c r="C271">
        <v>171608</v>
      </c>
      <c r="D271">
        <f t="shared" si="5"/>
        <v>2123962</v>
      </c>
      <c r="E271">
        <v>2295570</v>
      </c>
    </row>
    <row r="272" spans="1:5" hidden="1" x14ac:dyDescent="0.3">
      <c r="A272" t="s">
        <v>10</v>
      </c>
      <c r="B272" s="3">
        <v>46143</v>
      </c>
      <c r="C272">
        <v>174428</v>
      </c>
      <c r="D272">
        <f t="shared" si="5"/>
        <v>1106544</v>
      </c>
      <c r="E272">
        <v>1280972</v>
      </c>
    </row>
    <row r="273" spans="1:5" hidden="1" x14ac:dyDescent="0.3">
      <c r="A273" t="s">
        <v>11</v>
      </c>
      <c r="B273" s="3">
        <v>46143</v>
      </c>
      <c r="C273">
        <v>26219</v>
      </c>
      <c r="D273">
        <f t="shared" si="5"/>
        <v>128914</v>
      </c>
      <c r="E273">
        <v>155133</v>
      </c>
    </row>
    <row r="274" spans="1:5" hidden="1" x14ac:dyDescent="0.3">
      <c r="A274" t="s">
        <v>12</v>
      </c>
      <c r="B274" s="3">
        <v>46143</v>
      </c>
      <c r="C274">
        <v>82952</v>
      </c>
      <c r="D274">
        <f t="shared" si="5"/>
        <v>249425</v>
      </c>
      <c r="E274">
        <v>332377</v>
      </c>
    </row>
    <row r="275" spans="1:5" hidden="1" x14ac:dyDescent="0.3">
      <c r="A275" t="s">
        <v>13</v>
      </c>
      <c r="B275" s="3">
        <v>46143</v>
      </c>
      <c r="C275">
        <v>19456</v>
      </c>
      <c r="D275">
        <f t="shared" si="5"/>
        <v>130929</v>
      </c>
      <c r="E275">
        <v>150385</v>
      </c>
    </row>
    <row r="276" spans="1:5" hidden="1" x14ac:dyDescent="0.3">
      <c r="A276" t="s">
        <v>14</v>
      </c>
      <c r="B276" s="3">
        <v>46143</v>
      </c>
      <c r="C276">
        <v>308158</v>
      </c>
      <c r="D276">
        <f t="shared" si="5"/>
        <v>1019868</v>
      </c>
      <c r="E276">
        <v>1328026</v>
      </c>
    </row>
    <row r="277" spans="1:5" hidden="1" x14ac:dyDescent="0.3">
      <c r="A277" t="s">
        <v>15</v>
      </c>
      <c r="B277" s="3">
        <v>46143</v>
      </c>
      <c r="C277">
        <v>116642</v>
      </c>
      <c r="D277">
        <f t="shared" si="5"/>
        <v>536224</v>
      </c>
      <c r="E277">
        <v>652866</v>
      </c>
    </row>
    <row r="278" spans="1:5" hidden="1" x14ac:dyDescent="0.3">
      <c r="A278" t="s">
        <v>16</v>
      </c>
      <c r="B278" s="3">
        <v>46143</v>
      </c>
      <c r="C278">
        <v>71454</v>
      </c>
      <c r="D278">
        <f t="shared" si="5"/>
        <v>203503</v>
      </c>
      <c r="E278">
        <v>274957</v>
      </c>
    </row>
    <row r="279" spans="1:5" hidden="1" x14ac:dyDescent="0.3">
      <c r="A279" t="s">
        <v>17</v>
      </c>
      <c r="B279" s="3">
        <v>46143</v>
      </c>
      <c r="C279">
        <v>117302</v>
      </c>
      <c r="D279">
        <f t="shared" si="5"/>
        <v>438705</v>
      </c>
      <c r="E279">
        <v>556007</v>
      </c>
    </row>
    <row r="280" spans="1:5" hidden="1" x14ac:dyDescent="0.3">
      <c r="A280" t="s">
        <v>18</v>
      </c>
      <c r="B280" s="3">
        <v>46143</v>
      </c>
      <c r="C280">
        <v>129426</v>
      </c>
      <c r="D280">
        <f t="shared" si="5"/>
        <v>509282</v>
      </c>
      <c r="E280">
        <v>638708</v>
      </c>
    </row>
    <row r="281" spans="1:5" hidden="1" x14ac:dyDescent="0.3">
      <c r="A281" t="s">
        <v>19</v>
      </c>
      <c r="B281" s="3">
        <v>46143</v>
      </c>
      <c r="C281">
        <v>173535</v>
      </c>
      <c r="D281">
        <f t="shared" si="5"/>
        <v>487225</v>
      </c>
      <c r="E281">
        <v>660760</v>
      </c>
    </row>
    <row r="282" spans="1:5" hidden="1" x14ac:dyDescent="0.3">
      <c r="A282" t="s">
        <v>20</v>
      </c>
      <c r="B282" s="3">
        <v>46143</v>
      </c>
      <c r="C282">
        <v>195413</v>
      </c>
      <c r="D282">
        <f t="shared" si="5"/>
        <v>465564</v>
      </c>
      <c r="E282">
        <v>660977</v>
      </c>
    </row>
    <row r="283" spans="1:5" hidden="1" x14ac:dyDescent="0.3">
      <c r="A283" t="s">
        <v>21</v>
      </c>
      <c r="B283" s="3">
        <v>46143</v>
      </c>
      <c r="C283">
        <v>19430</v>
      </c>
      <c r="D283">
        <f t="shared" si="5"/>
        <v>117944</v>
      </c>
      <c r="E283">
        <v>137374</v>
      </c>
    </row>
    <row r="284" spans="1:5" hidden="1" x14ac:dyDescent="0.3">
      <c r="A284" t="s">
        <v>22</v>
      </c>
      <c r="B284" s="3">
        <v>46143</v>
      </c>
      <c r="C284">
        <v>162475</v>
      </c>
      <c r="D284">
        <f t="shared" si="5"/>
        <v>707087</v>
      </c>
      <c r="E284">
        <v>869562</v>
      </c>
    </row>
    <row r="285" spans="1:5" hidden="1" x14ac:dyDescent="0.3">
      <c r="A285" t="s">
        <v>23</v>
      </c>
      <c r="B285" s="3">
        <v>46143</v>
      </c>
      <c r="C285">
        <v>3835</v>
      </c>
      <c r="D285">
        <f t="shared" si="5"/>
        <v>590352</v>
      </c>
      <c r="E285">
        <v>594187</v>
      </c>
    </row>
    <row r="286" spans="1:5" hidden="1" x14ac:dyDescent="0.3">
      <c r="A286" t="s">
        <v>24</v>
      </c>
      <c r="B286" s="3">
        <v>46143</v>
      </c>
      <c r="C286">
        <v>134279</v>
      </c>
      <c r="D286">
        <f t="shared" si="5"/>
        <v>430673</v>
      </c>
      <c r="E286">
        <v>564952</v>
      </c>
    </row>
    <row r="287" spans="1:5" hidden="1" x14ac:dyDescent="0.3">
      <c r="A287" t="s">
        <v>25</v>
      </c>
      <c r="B287" s="3">
        <v>46143</v>
      </c>
      <c r="C287">
        <v>83380</v>
      </c>
      <c r="D287">
        <f t="shared" si="5"/>
        <v>305395</v>
      </c>
      <c r="E287">
        <v>388775</v>
      </c>
    </row>
    <row r="288" spans="1:5" hidden="1" x14ac:dyDescent="0.3">
      <c r="A288" t="s">
        <v>26</v>
      </c>
      <c r="B288" s="3">
        <v>46143</v>
      </c>
      <c r="C288">
        <v>20348</v>
      </c>
      <c r="D288">
        <f t="shared" si="5"/>
        <v>67888</v>
      </c>
      <c r="E288">
        <v>88236</v>
      </c>
    </row>
    <row r="289" spans="1:5" hidden="1" x14ac:dyDescent="0.3">
      <c r="A289" t="s">
        <v>27</v>
      </c>
      <c r="B289" s="3">
        <v>46143</v>
      </c>
      <c r="C289">
        <v>348564</v>
      </c>
      <c r="D289">
        <f t="shared" si="5"/>
        <v>1019119</v>
      </c>
      <c r="E289">
        <v>1367683</v>
      </c>
    </row>
    <row r="290" spans="1:5" hidden="1" x14ac:dyDescent="0.3">
      <c r="A290" t="s">
        <v>28</v>
      </c>
      <c r="B290" s="3">
        <v>46143</v>
      </c>
      <c r="C290">
        <v>5388</v>
      </c>
      <c r="D290">
        <f t="shared" si="5"/>
        <v>45012</v>
      </c>
      <c r="E290">
        <v>50400</v>
      </c>
    </row>
    <row r="291" spans="1:5" hidden="1" x14ac:dyDescent="0.3">
      <c r="A291" t="s">
        <v>29</v>
      </c>
      <c r="B291" s="3">
        <v>46143</v>
      </c>
      <c r="C291">
        <v>37115</v>
      </c>
      <c r="D291">
        <f t="shared" si="5"/>
        <v>133241</v>
      </c>
      <c r="E291">
        <v>170356</v>
      </c>
    </row>
    <row r="292" spans="1:5" hidden="1" x14ac:dyDescent="0.3">
      <c r="A292" t="s">
        <v>30</v>
      </c>
      <c r="B292" s="3">
        <v>46143</v>
      </c>
      <c r="C292">
        <v>18787</v>
      </c>
      <c r="D292">
        <f t="shared" si="5"/>
        <v>65561</v>
      </c>
      <c r="E292">
        <v>84348</v>
      </c>
    </row>
    <row r="293" spans="1:5" hidden="1" x14ac:dyDescent="0.3">
      <c r="A293" t="s">
        <v>31</v>
      </c>
      <c r="B293" s="3">
        <v>46143</v>
      </c>
      <c r="C293">
        <v>263088</v>
      </c>
      <c r="D293">
        <f t="shared" si="5"/>
        <v>544952</v>
      </c>
      <c r="E293">
        <v>808040</v>
      </c>
    </row>
    <row r="294" spans="1:5" hidden="1" x14ac:dyDescent="0.3">
      <c r="A294" t="s">
        <v>32</v>
      </c>
      <c r="B294" s="3">
        <v>46143</v>
      </c>
      <c r="C294">
        <v>42383</v>
      </c>
      <c r="D294">
        <f t="shared" si="5"/>
        <v>262243</v>
      </c>
      <c r="E294">
        <v>304626</v>
      </c>
    </row>
    <row r="295" spans="1:5" hidden="1" x14ac:dyDescent="0.3">
      <c r="A295" t="s">
        <v>33</v>
      </c>
      <c r="B295" s="3">
        <v>46143</v>
      </c>
      <c r="C295">
        <v>45454</v>
      </c>
      <c r="D295">
        <f t="shared" si="5"/>
        <v>264743</v>
      </c>
      <c r="E295">
        <v>310197</v>
      </c>
    </row>
    <row r="296" spans="1:5" hidden="1" x14ac:dyDescent="0.3">
      <c r="A296" t="s">
        <v>34</v>
      </c>
      <c r="B296" s="3">
        <v>46143</v>
      </c>
      <c r="C296">
        <v>645527</v>
      </c>
      <c r="D296">
        <f t="shared" si="5"/>
        <v>1773795</v>
      </c>
      <c r="E296">
        <v>2419322</v>
      </c>
    </row>
    <row r="297" spans="1:5" hidden="1" x14ac:dyDescent="0.3">
      <c r="A297" t="s">
        <v>35</v>
      </c>
      <c r="B297" s="3">
        <v>46143</v>
      </c>
      <c r="C297">
        <v>229331</v>
      </c>
      <c r="D297">
        <f t="shared" si="5"/>
        <v>887436</v>
      </c>
      <c r="E297">
        <v>1116767</v>
      </c>
    </row>
    <row r="298" spans="1:5" hidden="1" x14ac:dyDescent="0.3">
      <c r="A298" t="s">
        <v>36</v>
      </c>
      <c r="B298" s="3">
        <v>46143</v>
      </c>
      <c r="C298">
        <v>81058</v>
      </c>
      <c r="D298">
        <f t="shared" si="5"/>
        <v>421342</v>
      </c>
      <c r="E298">
        <v>502400</v>
      </c>
    </row>
    <row r="299" spans="1:5" hidden="1" x14ac:dyDescent="0.3">
      <c r="A299" t="s">
        <v>37</v>
      </c>
      <c r="B299" s="3">
        <v>46143</v>
      </c>
      <c r="C299">
        <v>180216</v>
      </c>
      <c r="D299">
        <f t="shared" si="5"/>
        <v>286219</v>
      </c>
      <c r="E299">
        <v>466435</v>
      </c>
    </row>
    <row r="300" spans="1:5" hidden="1" x14ac:dyDescent="0.3">
      <c r="A300" t="s">
        <v>38</v>
      </c>
      <c r="B300" s="3">
        <v>46143</v>
      </c>
      <c r="C300">
        <v>277244</v>
      </c>
      <c r="D300">
        <f t="shared" si="5"/>
        <v>1117853</v>
      </c>
      <c r="E300">
        <v>1395097</v>
      </c>
    </row>
    <row r="301" spans="1:5" hidden="1" x14ac:dyDescent="0.3">
      <c r="A301" t="s">
        <v>39</v>
      </c>
      <c r="B301" s="3">
        <v>46143</v>
      </c>
      <c r="C301">
        <v>33791</v>
      </c>
      <c r="D301">
        <f t="shared" si="5"/>
        <v>81728</v>
      </c>
      <c r="E301">
        <v>115519</v>
      </c>
    </row>
    <row r="302" spans="1:5" hidden="1" x14ac:dyDescent="0.3">
      <c r="A302" t="s">
        <v>40</v>
      </c>
      <c r="B302" s="3">
        <v>46143</v>
      </c>
      <c r="C302">
        <v>111928</v>
      </c>
      <c r="D302">
        <f t="shared" si="5"/>
        <v>482689</v>
      </c>
      <c r="E302">
        <v>594617</v>
      </c>
    </row>
    <row r="303" spans="1:5" hidden="1" x14ac:dyDescent="0.3">
      <c r="A303" t="s">
        <v>41</v>
      </c>
      <c r="B303" s="3">
        <v>46143</v>
      </c>
      <c r="C303">
        <v>14442</v>
      </c>
      <c r="D303">
        <f t="shared" si="5"/>
        <v>61581</v>
      </c>
      <c r="E303">
        <v>76023</v>
      </c>
    </row>
    <row r="304" spans="1:5" hidden="1" x14ac:dyDescent="0.3">
      <c r="A304" t="s">
        <v>42</v>
      </c>
      <c r="B304" s="3">
        <v>46143</v>
      </c>
      <c r="C304">
        <v>183054</v>
      </c>
      <c r="D304">
        <f t="shared" si="5"/>
        <v>638839</v>
      </c>
      <c r="E304">
        <v>821893</v>
      </c>
    </row>
    <row r="305" spans="1:5" hidden="1" x14ac:dyDescent="0.3">
      <c r="A305" t="s">
        <v>43</v>
      </c>
      <c r="B305" s="3">
        <v>46143</v>
      </c>
      <c r="C305">
        <v>328955</v>
      </c>
      <c r="D305">
        <f t="shared" si="5"/>
        <v>2656734</v>
      </c>
      <c r="E305">
        <v>2985689</v>
      </c>
    </row>
    <row r="306" spans="1:5" hidden="1" x14ac:dyDescent="0.3">
      <c r="A306" t="s">
        <v>44</v>
      </c>
      <c r="B306" s="3">
        <v>46143</v>
      </c>
      <c r="C306">
        <v>34067</v>
      </c>
      <c r="D306">
        <f t="shared" si="5"/>
        <v>127220</v>
      </c>
      <c r="E306">
        <v>161287</v>
      </c>
    </row>
    <row r="307" spans="1:5" hidden="1" x14ac:dyDescent="0.3">
      <c r="A307" t="s">
        <v>45</v>
      </c>
      <c r="B307" s="3">
        <v>46143</v>
      </c>
      <c r="C307">
        <v>187417</v>
      </c>
      <c r="D307">
        <f t="shared" si="5"/>
        <v>597161</v>
      </c>
      <c r="E307">
        <v>784578</v>
      </c>
    </row>
    <row r="308" spans="1:5" hidden="1" x14ac:dyDescent="0.3">
      <c r="A308" t="s">
        <v>46</v>
      </c>
      <c r="B308" s="3">
        <v>46143</v>
      </c>
      <c r="C308">
        <v>5554</v>
      </c>
      <c r="D308">
        <f t="shared" si="5"/>
        <v>50605</v>
      </c>
      <c r="E308">
        <v>56159</v>
      </c>
    </row>
    <row r="309" spans="1:5" hidden="1" x14ac:dyDescent="0.3">
      <c r="A309" t="s">
        <v>47</v>
      </c>
      <c r="B309" s="3">
        <v>46143</v>
      </c>
      <c r="C309">
        <v>62049</v>
      </c>
      <c r="D309">
        <f t="shared" si="5"/>
        <v>750999</v>
      </c>
      <c r="E309">
        <v>813048</v>
      </c>
    </row>
    <row r="310" spans="1:5" hidden="1" x14ac:dyDescent="0.3">
      <c r="A310" t="s">
        <v>48</v>
      </c>
      <c r="B310" s="3">
        <v>46143</v>
      </c>
      <c r="C310">
        <v>96647</v>
      </c>
      <c r="D310">
        <f t="shared" si="5"/>
        <v>433276</v>
      </c>
      <c r="E310">
        <v>529923</v>
      </c>
    </row>
    <row r="311" spans="1:5" hidden="1" x14ac:dyDescent="0.3">
      <c r="A311" t="s">
        <v>49</v>
      </c>
      <c r="B311" s="3">
        <v>46143</v>
      </c>
      <c r="C311">
        <v>39310</v>
      </c>
      <c r="D311">
        <f t="shared" si="5"/>
        <v>153110</v>
      </c>
      <c r="E311">
        <v>192420</v>
      </c>
    </row>
    <row r="312" spans="1:5" hidden="1" x14ac:dyDescent="0.3">
      <c r="A312" t="s">
        <v>50</v>
      </c>
      <c r="B312" s="3">
        <v>46143</v>
      </c>
      <c r="C312">
        <v>6087</v>
      </c>
      <c r="D312">
        <f t="shared" si="5"/>
        <v>34385</v>
      </c>
      <c r="E312">
        <v>40472</v>
      </c>
    </row>
    <row r="313" spans="1:5" hidden="1" x14ac:dyDescent="0.3">
      <c r="A313" s="1" t="s">
        <v>63</v>
      </c>
      <c r="B313" s="8">
        <v>46143</v>
      </c>
      <c r="C313" s="1">
        <f>SUM(C262:C312)</f>
        <v>7137750</v>
      </c>
      <c r="D313" s="1">
        <f>E313-C313</f>
        <v>28080687</v>
      </c>
      <c r="E313" s="1">
        <f>SUM(E262:E312)</f>
        <v>35218437</v>
      </c>
    </row>
    <row r="314" spans="1:5" x14ac:dyDescent="0.3">
      <c r="A314" t="s">
        <v>0</v>
      </c>
      <c r="B314" s="3">
        <v>46174</v>
      </c>
      <c r="C314">
        <v>12386</v>
      </c>
      <c r="D314">
        <f>E314-C314</f>
        <v>71137</v>
      </c>
      <c r="E314">
        <v>83523</v>
      </c>
    </row>
    <row r="315" spans="1:5" x14ac:dyDescent="0.3">
      <c r="A315" t="s">
        <v>1</v>
      </c>
      <c r="B315" s="3">
        <v>46174</v>
      </c>
      <c r="C315">
        <v>198983</v>
      </c>
      <c r="D315">
        <f t="shared" ref="D315:D365" si="6">E315-C315</f>
        <v>469667</v>
      </c>
      <c r="E315">
        <v>668650</v>
      </c>
    </row>
    <row r="316" spans="1:5" x14ac:dyDescent="0.3">
      <c r="A316" t="s">
        <v>2</v>
      </c>
      <c r="B316" s="3">
        <v>46174</v>
      </c>
      <c r="C316">
        <v>79062</v>
      </c>
      <c r="D316">
        <f t="shared" si="6"/>
        <v>319265</v>
      </c>
      <c r="E316">
        <v>398327</v>
      </c>
    </row>
    <row r="317" spans="1:5" x14ac:dyDescent="0.3">
      <c r="A317" t="s">
        <v>3</v>
      </c>
      <c r="B317" s="3">
        <v>46174</v>
      </c>
      <c r="C317">
        <v>110993</v>
      </c>
      <c r="D317">
        <f t="shared" si="6"/>
        <v>593147</v>
      </c>
      <c r="E317">
        <v>704140</v>
      </c>
    </row>
    <row r="318" spans="1:5" x14ac:dyDescent="0.3">
      <c r="A318" t="s">
        <v>4</v>
      </c>
      <c r="B318" s="3">
        <v>46174</v>
      </c>
      <c r="C318">
        <v>1262711</v>
      </c>
      <c r="D318">
        <f t="shared" si="6"/>
        <v>3181056</v>
      </c>
      <c r="E318">
        <v>4443767</v>
      </c>
    </row>
    <row r="319" spans="1:5" x14ac:dyDescent="0.3">
      <c r="A319" t="s">
        <v>5</v>
      </c>
      <c r="B319" s="3">
        <v>46174</v>
      </c>
      <c r="C319">
        <v>136739</v>
      </c>
      <c r="D319">
        <f t="shared" si="6"/>
        <v>389379</v>
      </c>
      <c r="E319">
        <v>526118</v>
      </c>
    </row>
    <row r="320" spans="1:5" x14ac:dyDescent="0.3">
      <c r="A320" t="s">
        <v>6</v>
      </c>
      <c r="B320" s="3">
        <v>46174</v>
      </c>
      <c r="C320">
        <v>25264</v>
      </c>
      <c r="D320">
        <f t="shared" si="6"/>
        <v>336367</v>
      </c>
      <c r="E320">
        <v>361631</v>
      </c>
    </row>
    <row r="321" spans="1:5" x14ac:dyDescent="0.3">
      <c r="A321" t="s">
        <v>7</v>
      </c>
      <c r="B321" s="3">
        <v>46174</v>
      </c>
      <c r="C321">
        <v>15700</v>
      </c>
      <c r="D321">
        <f t="shared" si="6"/>
        <v>76651</v>
      </c>
      <c r="E321">
        <v>92351</v>
      </c>
    </row>
    <row r="322" spans="1:5" x14ac:dyDescent="0.3">
      <c r="A322" t="s">
        <v>8</v>
      </c>
      <c r="B322" s="3">
        <v>46174</v>
      </c>
      <c r="C322">
        <v>13608</v>
      </c>
      <c r="D322">
        <f t="shared" si="6"/>
        <v>90300</v>
      </c>
      <c r="E322">
        <v>103908</v>
      </c>
    </row>
    <row r="323" spans="1:5" x14ac:dyDescent="0.3">
      <c r="A323" t="s">
        <v>9</v>
      </c>
      <c r="B323" s="3">
        <v>46174</v>
      </c>
      <c r="C323">
        <v>168719</v>
      </c>
      <c r="D323">
        <f t="shared" si="6"/>
        <v>2115277</v>
      </c>
      <c r="E323">
        <v>2283996</v>
      </c>
    </row>
    <row r="324" spans="1:5" x14ac:dyDescent="0.3">
      <c r="A324" t="s">
        <v>10</v>
      </c>
      <c r="B324" s="3">
        <v>46174</v>
      </c>
      <c r="C324">
        <v>173147</v>
      </c>
      <c r="D324">
        <f t="shared" si="6"/>
        <v>1099330</v>
      </c>
      <c r="E324">
        <v>1272477</v>
      </c>
    </row>
    <row r="325" spans="1:5" x14ac:dyDescent="0.3">
      <c r="A325" t="s">
        <v>11</v>
      </c>
      <c r="B325" s="3">
        <v>46174</v>
      </c>
      <c r="C325">
        <v>26604</v>
      </c>
      <c r="D325">
        <f t="shared" si="6"/>
        <v>128908</v>
      </c>
      <c r="E325">
        <v>155512</v>
      </c>
    </row>
    <row r="326" spans="1:5" x14ac:dyDescent="0.3">
      <c r="A326" t="s">
        <v>12</v>
      </c>
      <c r="B326" s="3">
        <v>46174</v>
      </c>
      <c r="C326">
        <v>82377</v>
      </c>
      <c r="D326">
        <f t="shared" si="6"/>
        <v>249616</v>
      </c>
      <c r="E326">
        <v>331993</v>
      </c>
    </row>
    <row r="327" spans="1:5" x14ac:dyDescent="0.3">
      <c r="A327" t="s">
        <v>13</v>
      </c>
      <c r="B327" s="3">
        <v>46174</v>
      </c>
      <c r="C327">
        <v>19076</v>
      </c>
      <c r="D327">
        <f t="shared" si="6"/>
        <v>129437</v>
      </c>
      <c r="E327">
        <v>148513</v>
      </c>
    </row>
    <row r="328" spans="1:5" x14ac:dyDescent="0.3">
      <c r="A328" t="s">
        <v>14</v>
      </c>
      <c r="B328" s="3">
        <v>46174</v>
      </c>
      <c r="C328">
        <v>366385</v>
      </c>
      <c r="D328">
        <f t="shared" si="6"/>
        <v>951645</v>
      </c>
      <c r="E328">
        <v>1318030</v>
      </c>
    </row>
    <row r="329" spans="1:5" x14ac:dyDescent="0.3">
      <c r="A329" t="s">
        <v>15</v>
      </c>
      <c r="B329" s="3">
        <v>46174</v>
      </c>
      <c r="C329">
        <v>115864</v>
      </c>
      <c r="D329">
        <f t="shared" si="6"/>
        <v>527963</v>
      </c>
      <c r="E329">
        <v>643827</v>
      </c>
    </row>
    <row r="330" spans="1:5" x14ac:dyDescent="0.3">
      <c r="A330" t="s">
        <v>16</v>
      </c>
      <c r="B330" s="3">
        <v>46174</v>
      </c>
      <c r="C330">
        <v>70846</v>
      </c>
      <c r="D330">
        <f t="shared" si="6"/>
        <v>203019</v>
      </c>
      <c r="E330">
        <v>273865</v>
      </c>
    </row>
    <row r="331" spans="1:5" x14ac:dyDescent="0.3">
      <c r="A331" t="s">
        <v>17</v>
      </c>
      <c r="B331" s="3">
        <v>46174</v>
      </c>
      <c r="C331">
        <v>116675</v>
      </c>
      <c r="D331">
        <f t="shared" si="6"/>
        <v>433166</v>
      </c>
      <c r="E331">
        <v>549841</v>
      </c>
    </row>
    <row r="332" spans="1:5" x14ac:dyDescent="0.3">
      <c r="A332" t="s">
        <v>18</v>
      </c>
      <c r="B332" s="3">
        <v>46174</v>
      </c>
      <c r="C332">
        <v>127551</v>
      </c>
      <c r="D332">
        <f t="shared" si="6"/>
        <v>505515</v>
      </c>
      <c r="E332">
        <v>633066</v>
      </c>
    </row>
    <row r="333" spans="1:5" x14ac:dyDescent="0.3">
      <c r="A333" t="s">
        <v>19</v>
      </c>
      <c r="B333" s="3">
        <v>46174</v>
      </c>
      <c r="C333">
        <v>173179</v>
      </c>
      <c r="D333">
        <f t="shared" si="6"/>
        <v>483954</v>
      </c>
      <c r="E333">
        <v>657133</v>
      </c>
    </row>
    <row r="334" spans="1:5" x14ac:dyDescent="0.3">
      <c r="A334" t="s">
        <v>20</v>
      </c>
      <c r="B334" s="3">
        <v>46174</v>
      </c>
      <c r="C334">
        <v>198016</v>
      </c>
      <c r="D334">
        <f t="shared" si="6"/>
        <v>466844</v>
      </c>
      <c r="E334">
        <v>664860</v>
      </c>
    </row>
    <row r="335" spans="1:5" x14ac:dyDescent="0.3">
      <c r="A335" t="s">
        <v>21</v>
      </c>
      <c r="B335" s="3">
        <v>46174</v>
      </c>
      <c r="C335">
        <v>19642</v>
      </c>
      <c r="D335">
        <f t="shared" si="6"/>
        <v>117619</v>
      </c>
      <c r="E335">
        <v>137261</v>
      </c>
    </row>
    <row r="336" spans="1:5" x14ac:dyDescent="0.3">
      <c r="A336" t="s">
        <v>22</v>
      </c>
      <c r="B336" s="3">
        <v>46174</v>
      </c>
      <c r="C336">
        <v>160963</v>
      </c>
      <c r="D336">
        <f t="shared" si="6"/>
        <v>703626</v>
      </c>
      <c r="E336">
        <v>864589</v>
      </c>
    </row>
    <row r="337" spans="1:5" x14ac:dyDescent="0.3">
      <c r="A337" t="s">
        <v>23</v>
      </c>
      <c r="B337" s="3">
        <v>46174</v>
      </c>
      <c r="C337">
        <v>3799</v>
      </c>
      <c r="D337">
        <f t="shared" si="6"/>
        <v>589396</v>
      </c>
      <c r="E337">
        <v>593195</v>
      </c>
    </row>
    <row r="338" spans="1:5" x14ac:dyDescent="0.3">
      <c r="A338" t="s">
        <v>24</v>
      </c>
      <c r="B338" s="3">
        <v>46174</v>
      </c>
      <c r="C338">
        <v>135031</v>
      </c>
      <c r="D338">
        <f t="shared" si="6"/>
        <v>430502</v>
      </c>
      <c r="E338">
        <v>565533</v>
      </c>
    </row>
    <row r="339" spans="1:5" x14ac:dyDescent="0.3">
      <c r="A339" t="s">
        <v>25</v>
      </c>
      <c r="B339" s="3">
        <v>46174</v>
      </c>
      <c r="C339">
        <v>83465</v>
      </c>
      <c r="D339">
        <f t="shared" si="6"/>
        <v>305037</v>
      </c>
      <c r="E339">
        <v>388502</v>
      </c>
    </row>
    <row r="340" spans="1:5" x14ac:dyDescent="0.3">
      <c r="A340" t="s">
        <v>26</v>
      </c>
      <c r="B340" s="3">
        <v>46174</v>
      </c>
      <c r="C340">
        <v>20729</v>
      </c>
      <c r="D340">
        <f t="shared" si="6"/>
        <v>68504</v>
      </c>
      <c r="E340">
        <v>89233</v>
      </c>
    </row>
    <row r="341" spans="1:5" x14ac:dyDescent="0.3">
      <c r="A341" t="s">
        <v>27</v>
      </c>
      <c r="B341" s="3">
        <v>46174</v>
      </c>
      <c r="C341">
        <v>350234</v>
      </c>
      <c r="D341">
        <f t="shared" si="6"/>
        <v>1007867</v>
      </c>
      <c r="E341">
        <v>1358101</v>
      </c>
    </row>
    <row r="342" spans="1:5" x14ac:dyDescent="0.3">
      <c r="A342" t="s">
        <v>28</v>
      </c>
      <c r="B342" s="3">
        <v>46174</v>
      </c>
      <c r="C342">
        <v>5405</v>
      </c>
      <c r="D342">
        <f t="shared" si="6"/>
        <v>45348</v>
      </c>
      <c r="E342">
        <v>50753</v>
      </c>
    </row>
    <row r="343" spans="1:5" x14ac:dyDescent="0.3">
      <c r="A343" t="s">
        <v>29</v>
      </c>
      <c r="B343" s="3">
        <v>46174</v>
      </c>
      <c r="C343">
        <v>36971</v>
      </c>
      <c r="D343">
        <f t="shared" si="6"/>
        <v>132659</v>
      </c>
      <c r="E343">
        <v>169630</v>
      </c>
    </row>
    <row r="344" spans="1:5" x14ac:dyDescent="0.3">
      <c r="A344" t="s">
        <v>30</v>
      </c>
      <c r="B344" s="3">
        <v>46174</v>
      </c>
      <c r="C344">
        <v>18667</v>
      </c>
      <c r="D344">
        <f t="shared" si="6"/>
        <v>65334</v>
      </c>
      <c r="E344">
        <v>84001</v>
      </c>
    </row>
    <row r="345" spans="1:5" x14ac:dyDescent="0.3">
      <c r="A345" t="s">
        <v>31</v>
      </c>
      <c r="B345" s="3">
        <v>46174</v>
      </c>
      <c r="C345">
        <v>261947</v>
      </c>
      <c r="D345">
        <f t="shared" si="6"/>
        <v>537315</v>
      </c>
      <c r="E345">
        <v>799262</v>
      </c>
    </row>
    <row r="346" spans="1:5" x14ac:dyDescent="0.3">
      <c r="A346" t="s">
        <v>32</v>
      </c>
      <c r="B346" s="3">
        <v>46174</v>
      </c>
      <c r="C346">
        <v>42333</v>
      </c>
      <c r="D346">
        <f t="shared" si="6"/>
        <v>261824</v>
      </c>
      <c r="E346">
        <v>304157</v>
      </c>
    </row>
    <row r="347" spans="1:5" x14ac:dyDescent="0.3">
      <c r="A347" t="s">
        <v>33</v>
      </c>
      <c r="B347" s="3">
        <v>46174</v>
      </c>
      <c r="C347">
        <v>44476</v>
      </c>
      <c r="D347">
        <f t="shared" si="6"/>
        <v>264856</v>
      </c>
      <c r="E347">
        <v>309332</v>
      </c>
    </row>
    <row r="348" spans="1:5" x14ac:dyDescent="0.3">
      <c r="A348" t="s">
        <v>34</v>
      </c>
      <c r="B348" s="3">
        <v>46174</v>
      </c>
      <c r="C348">
        <v>654759</v>
      </c>
      <c r="D348">
        <f t="shared" si="6"/>
        <v>1772747</v>
      </c>
      <c r="E348">
        <v>2427506</v>
      </c>
    </row>
    <row r="349" spans="1:5" x14ac:dyDescent="0.3">
      <c r="A349" t="s">
        <v>35</v>
      </c>
      <c r="B349" s="3">
        <v>46174</v>
      </c>
      <c r="C349">
        <v>226186</v>
      </c>
      <c r="D349">
        <f t="shared" si="6"/>
        <v>877802</v>
      </c>
      <c r="E349">
        <v>1103988</v>
      </c>
    </row>
    <row r="350" spans="1:5" x14ac:dyDescent="0.3">
      <c r="A350" t="s">
        <v>36</v>
      </c>
      <c r="B350" s="3">
        <v>46174</v>
      </c>
      <c r="C350">
        <v>86250</v>
      </c>
      <c r="D350">
        <f t="shared" si="6"/>
        <v>416270</v>
      </c>
      <c r="E350">
        <v>502520</v>
      </c>
    </row>
    <row r="351" spans="1:5" x14ac:dyDescent="0.3">
      <c r="A351" t="s">
        <v>37</v>
      </c>
      <c r="B351" s="3">
        <v>46174</v>
      </c>
      <c r="C351">
        <v>179056</v>
      </c>
      <c r="D351">
        <f t="shared" si="6"/>
        <v>283876</v>
      </c>
      <c r="E351">
        <v>462932</v>
      </c>
    </row>
    <row r="352" spans="1:5" x14ac:dyDescent="0.3">
      <c r="A352" t="s">
        <v>38</v>
      </c>
      <c r="B352" s="3">
        <v>46174</v>
      </c>
      <c r="C352">
        <v>273448</v>
      </c>
      <c r="D352">
        <f t="shared" si="6"/>
        <v>1114509</v>
      </c>
      <c r="E352">
        <v>1387957</v>
      </c>
    </row>
    <row r="353" spans="1:5" x14ac:dyDescent="0.3">
      <c r="A353" t="s">
        <v>39</v>
      </c>
      <c r="B353" s="3">
        <v>46174</v>
      </c>
      <c r="C353">
        <v>33569</v>
      </c>
      <c r="D353">
        <f t="shared" si="6"/>
        <v>76731</v>
      </c>
      <c r="E353">
        <v>110300</v>
      </c>
    </row>
    <row r="354" spans="1:5" x14ac:dyDescent="0.3">
      <c r="A354" t="s">
        <v>40</v>
      </c>
      <c r="B354" s="3">
        <v>46174</v>
      </c>
      <c r="C354">
        <v>111528</v>
      </c>
      <c r="D354">
        <f t="shared" si="6"/>
        <v>484120</v>
      </c>
      <c r="E354">
        <v>595648</v>
      </c>
    </row>
    <row r="355" spans="1:5" x14ac:dyDescent="0.3">
      <c r="A355" t="s">
        <v>41</v>
      </c>
      <c r="B355" s="3">
        <v>46174</v>
      </c>
      <c r="C355">
        <v>14320</v>
      </c>
      <c r="D355">
        <f t="shared" si="6"/>
        <v>61418</v>
      </c>
      <c r="E355">
        <v>75738</v>
      </c>
    </row>
    <row r="356" spans="1:5" x14ac:dyDescent="0.3">
      <c r="A356" t="s">
        <v>42</v>
      </c>
      <c r="B356" s="3">
        <v>46174</v>
      </c>
      <c r="C356">
        <v>184461</v>
      </c>
      <c r="D356">
        <f t="shared" si="6"/>
        <v>636330</v>
      </c>
      <c r="E356">
        <v>820791</v>
      </c>
    </row>
    <row r="357" spans="1:5" x14ac:dyDescent="0.3">
      <c r="A357" t="s">
        <v>43</v>
      </c>
      <c r="B357" s="3">
        <v>46174</v>
      </c>
      <c r="C357">
        <v>326167</v>
      </c>
      <c r="D357">
        <f t="shared" si="6"/>
        <v>2633586</v>
      </c>
      <c r="E357">
        <v>2959753</v>
      </c>
    </row>
    <row r="358" spans="1:5" x14ac:dyDescent="0.3">
      <c r="A358" t="s">
        <v>44</v>
      </c>
      <c r="B358" s="3">
        <v>46174</v>
      </c>
      <c r="C358">
        <v>33714</v>
      </c>
      <c r="D358">
        <f t="shared" si="6"/>
        <v>126184</v>
      </c>
      <c r="E358">
        <v>159898</v>
      </c>
    </row>
    <row r="359" spans="1:5" x14ac:dyDescent="0.3">
      <c r="A359" t="s">
        <v>45</v>
      </c>
      <c r="B359" s="3">
        <v>46174</v>
      </c>
      <c r="C359">
        <v>186050</v>
      </c>
      <c r="D359">
        <f t="shared" si="6"/>
        <v>594259</v>
      </c>
      <c r="E359">
        <v>780309</v>
      </c>
    </row>
    <row r="360" spans="1:5" x14ac:dyDescent="0.3">
      <c r="A360" t="s">
        <v>46</v>
      </c>
      <c r="B360" s="3">
        <v>46174</v>
      </c>
      <c r="C360">
        <v>5562</v>
      </c>
      <c r="D360">
        <f t="shared" si="6"/>
        <v>50668</v>
      </c>
      <c r="E360">
        <v>56230</v>
      </c>
    </row>
    <row r="361" spans="1:5" x14ac:dyDescent="0.3">
      <c r="A361" t="s">
        <v>47</v>
      </c>
      <c r="B361" s="3">
        <v>46174</v>
      </c>
      <c r="C361">
        <v>62680</v>
      </c>
      <c r="D361">
        <f t="shared" si="6"/>
        <v>748404</v>
      </c>
      <c r="E361">
        <v>811084</v>
      </c>
    </row>
    <row r="362" spans="1:5" x14ac:dyDescent="0.3">
      <c r="A362" t="s">
        <v>48</v>
      </c>
      <c r="B362" s="3">
        <v>46174</v>
      </c>
      <c r="C362">
        <v>96980</v>
      </c>
      <c r="D362">
        <f t="shared" si="6"/>
        <v>431162</v>
      </c>
      <c r="E362">
        <v>528142</v>
      </c>
    </row>
    <row r="363" spans="1:5" x14ac:dyDescent="0.3">
      <c r="A363" t="s">
        <v>49</v>
      </c>
      <c r="B363" s="3">
        <v>46174</v>
      </c>
      <c r="C363">
        <v>39579</v>
      </c>
      <c r="D363">
        <f t="shared" si="6"/>
        <v>152152</v>
      </c>
      <c r="E363">
        <v>191731</v>
      </c>
    </row>
    <row r="364" spans="1:5" x14ac:dyDescent="0.3">
      <c r="A364" t="s">
        <v>50</v>
      </c>
      <c r="B364" s="3">
        <v>46174</v>
      </c>
      <c r="C364">
        <v>6152</v>
      </c>
      <c r="D364">
        <f t="shared" si="6"/>
        <v>33878</v>
      </c>
      <c r="E364">
        <v>40030</v>
      </c>
    </row>
    <row r="365" spans="1:5" x14ac:dyDescent="0.3">
      <c r="A365" t="s">
        <v>63</v>
      </c>
      <c r="B365" s="3">
        <v>46174</v>
      </c>
      <c r="C365">
        <f>SUM(C314:C364)</f>
        <v>7198008</v>
      </c>
      <c r="D365">
        <f t="shared" si="6"/>
        <v>27845626</v>
      </c>
      <c r="E365">
        <f>SUM(E314:E364)</f>
        <v>35043634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D0142-E9C6-4992-9A6E-21A65D208859}">
  <dimension ref="A1:E53"/>
  <sheetViews>
    <sheetView workbookViewId="0">
      <selection activeCell="G18" sqref="G18"/>
    </sheetView>
  </sheetViews>
  <sheetFormatPr defaultRowHeight="14.4" x14ac:dyDescent="0.3"/>
  <cols>
    <col min="1" max="1" width="17.88671875" bestFit="1" customWidth="1"/>
    <col min="2" max="2" width="15.5546875" bestFit="1" customWidth="1"/>
    <col min="3" max="3" width="20.109375" bestFit="1" customWidth="1"/>
    <col min="4" max="4" width="24.109375" bestFit="1" customWidth="1"/>
    <col min="5" max="5" width="31.6640625" bestFit="1" customWidth="1"/>
  </cols>
  <sheetData>
    <row r="1" spans="1:5" x14ac:dyDescent="0.3">
      <c r="A1" s="1" t="s">
        <v>51</v>
      </c>
      <c r="B1" s="1" t="s">
        <v>52</v>
      </c>
      <c r="C1" s="1" t="s">
        <v>153</v>
      </c>
      <c r="D1" s="1" t="s">
        <v>155</v>
      </c>
      <c r="E1" s="1" t="s">
        <v>154</v>
      </c>
    </row>
    <row r="2" spans="1:5" x14ac:dyDescent="0.3">
      <c r="A2" t="s">
        <v>0</v>
      </c>
      <c r="B2" s="3">
        <v>44986</v>
      </c>
      <c r="C2">
        <v>12150</v>
      </c>
      <c r="D2">
        <f>E2-C2</f>
        <v>93516</v>
      </c>
      <c r="E2">
        <v>105666</v>
      </c>
    </row>
    <row r="3" spans="1:5" x14ac:dyDescent="0.3">
      <c r="A3" t="s">
        <v>1</v>
      </c>
      <c r="B3" s="3">
        <v>44986</v>
      </c>
      <c r="C3">
        <v>205536</v>
      </c>
      <c r="D3">
        <f>E3-C3</f>
        <v>596195</v>
      </c>
      <c r="E3">
        <v>801731</v>
      </c>
    </row>
    <row r="4" spans="1:5" x14ac:dyDescent="0.3">
      <c r="A4" t="s">
        <v>2</v>
      </c>
      <c r="B4" s="3">
        <v>44986</v>
      </c>
      <c r="C4">
        <v>75026</v>
      </c>
      <c r="D4">
        <f>E4-C4</f>
        <v>404879</v>
      </c>
      <c r="E4">
        <v>479905</v>
      </c>
    </row>
    <row r="5" spans="1:5" x14ac:dyDescent="0.3">
      <c r="A5" t="s">
        <v>3</v>
      </c>
      <c r="B5" s="3">
        <v>44986</v>
      </c>
      <c r="C5">
        <v>147213</v>
      </c>
      <c r="D5" t="s">
        <v>156</v>
      </c>
      <c r="E5">
        <v>0</v>
      </c>
    </row>
    <row r="6" spans="1:5" x14ac:dyDescent="0.3">
      <c r="A6" t="s">
        <v>4</v>
      </c>
      <c r="B6" s="3">
        <v>44986</v>
      </c>
      <c r="C6">
        <v>1297814</v>
      </c>
      <c r="D6">
        <f t="shared" ref="D6:D52" si="0">E6-C6</f>
        <v>3997740</v>
      </c>
      <c r="E6">
        <v>5295554</v>
      </c>
    </row>
    <row r="7" spans="1:5" x14ac:dyDescent="0.3">
      <c r="A7" t="s">
        <v>5</v>
      </c>
      <c r="B7" s="3">
        <v>44986</v>
      </c>
      <c r="C7">
        <v>119896</v>
      </c>
      <c r="D7">
        <f t="shared" si="0"/>
        <v>533164</v>
      </c>
      <c r="E7">
        <v>653060</v>
      </c>
    </row>
    <row r="8" spans="1:5" x14ac:dyDescent="0.3">
      <c r="A8" t="s">
        <v>6</v>
      </c>
      <c r="B8" s="3">
        <v>44986</v>
      </c>
      <c r="C8">
        <v>13667</v>
      </c>
      <c r="D8">
        <f t="shared" si="0"/>
        <v>357501</v>
      </c>
      <c r="E8">
        <v>371168</v>
      </c>
    </row>
    <row r="9" spans="1:5" x14ac:dyDescent="0.3">
      <c r="A9" t="s">
        <v>7</v>
      </c>
      <c r="B9" s="3">
        <v>44986</v>
      </c>
      <c r="C9">
        <v>16242</v>
      </c>
      <c r="D9">
        <f t="shared" si="0"/>
        <v>84946</v>
      </c>
      <c r="E9">
        <v>101188</v>
      </c>
    </row>
    <row r="10" spans="1:5" x14ac:dyDescent="0.3">
      <c r="A10" t="s">
        <v>8</v>
      </c>
      <c r="B10" s="3">
        <v>44986</v>
      </c>
      <c r="C10">
        <v>6541</v>
      </c>
      <c r="D10">
        <f t="shared" si="0"/>
        <v>118352</v>
      </c>
      <c r="E10">
        <v>124893</v>
      </c>
    </row>
    <row r="11" spans="1:5" x14ac:dyDescent="0.3">
      <c r="A11" t="s">
        <v>9</v>
      </c>
      <c r="B11" s="3">
        <v>44986</v>
      </c>
      <c r="C11">
        <v>87798</v>
      </c>
      <c r="D11">
        <f t="shared" si="0"/>
        <v>3006508</v>
      </c>
      <c r="E11">
        <v>3094306</v>
      </c>
    </row>
    <row r="12" spans="1:5" x14ac:dyDescent="0.3">
      <c r="A12" t="s">
        <v>10</v>
      </c>
      <c r="B12" s="3">
        <v>44986</v>
      </c>
      <c r="C12">
        <v>325706</v>
      </c>
      <c r="D12">
        <f t="shared" si="0"/>
        <v>1411272</v>
      </c>
      <c r="E12">
        <v>1736978</v>
      </c>
    </row>
    <row r="13" spans="1:5" x14ac:dyDescent="0.3">
      <c r="A13" t="s">
        <v>11</v>
      </c>
      <c r="B13" s="3">
        <v>44986</v>
      </c>
      <c r="C13">
        <v>24181</v>
      </c>
      <c r="D13">
        <f t="shared" si="0"/>
        <v>142118</v>
      </c>
      <c r="E13">
        <v>166299</v>
      </c>
    </row>
    <row r="14" spans="1:5" x14ac:dyDescent="0.3">
      <c r="A14" t="s">
        <v>12</v>
      </c>
      <c r="B14" s="3">
        <v>44986</v>
      </c>
      <c r="C14">
        <v>69846</v>
      </c>
      <c r="D14">
        <f t="shared" si="0"/>
        <v>318341</v>
      </c>
      <c r="E14">
        <v>388187</v>
      </c>
    </row>
    <row r="15" spans="1:5" x14ac:dyDescent="0.3">
      <c r="A15" t="s">
        <v>13</v>
      </c>
      <c r="B15" s="3">
        <v>44986</v>
      </c>
      <c r="C15">
        <v>39369</v>
      </c>
      <c r="D15">
        <f t="shared" si="0"/>
        <v>172679</v>
      </c>
      <c r="E15">
        <v>212048</v>
      </c>
    </row>
    <row r="16" spans="1:5" x14ac:dyDescent="0.3">
      <c r="A16" t="s">
        <v>14</v>
      </c>
      <c r="B16" s="3">
        <v>44986</v>
      </c>
      <c r="C16">
        <v>346416</v>
      </c>
      <c r="D16">
        <f t="shared" si="0"/>
        <v>1227847</v>
      </c>
      <c r="E16">
        <v>1574263</v>
      </c>
    </row>
    <row r="17" spans="1:5" x14ac:dyDescent="0.3">
      <c r="A17" t="s">
        <v>15</v>
      </c>
      <c r="B17" s="3">
        <v>44986</v>
      </c>
      <c r="C17">
        <v>136704</v>
      </c>
      <c r="D17">
        <f t="shared" si="0"/>
        <v>750949</v>
      </c>
      <c r="E17">
        <v>887653</v>
      </c>
    </row>
    <row r="18" spans="1:5" x14ac:dyDescent="0.3">
      <c r="A18" t="s">
        <v>16</v>
      </c>
      <c r="B18" s="3">
        <v>44986</v>
      </c>
      <c r="C18">
        <v>68364</v>
      </c>
      <c r="D18">
        <f t="shared" si="0"/>
        <v>269538</v>
      </c>
      <c r="E18">
        <v>337902</v>
      </c>
    </row>
    <row r="19" spans="1:5" x14ac:dyDescent="0.3">
      <c r="A19" t="s">
        <v>17</v>
      </c>
      <c r="B19" s="3">
        <v>44986</v>
      </c>
      <c r="C19">
        <v>143601</v>
      </c>
      <c r="D19">
        <f t="shared" si="0"/>
        <v>505675</v>
      </c>
      <c r="E19">
        <v>649276</v>
      </c>
    </row>
    <row r="20" spans="1:5" x14ac:dyDescent="0.3">
      <c r="A20" t="s">
        <v>18</v>
      </c>
      <c r="B20" s="3">
        <v>44986</v>
      </c>
      <c r="C20">
        <v>189203</v>
      </c>
      <c r="D20">
        <f t="shared" si="0"/>
        <v>616118</v>
      </c>
      <c r="E20">
        <v>805321</v>
      </c>
    </row>
    <row r="21" spans="1:5" x14ac:dyDescent="0.3">
      <c r="A21" t="s">
        <v>19</v>
      </c>
      <c r="B21" s="3">
        <v>44986</v>
      </c>
      <c r="C21">
        <v>210420</v>
      </c>
      <c r="D21">
        <f t="shared" si="0"/>
        <v>554415</v>
      </c>
      <c r="E21">
        <v>764835</v>
      </c>
    </row>
    <row r="22" spans="1:5" x14ac:dyDescent="0.3">
      <c r="A22" t="s">
        <v>20</v>
      </c>
      <c r="B22" s="3">
        <v>44986</v>
      </c>
      <c r="C22">
        <v>166163</v>
      </c>
      <c r="D22">
        <f t="shared" si="0"/>
        <v>567504</v>
      </c>
      <c r="E22">
        <v>733667</v>
      </c>
    </row>
    <row r="23" spans="1:5" x14ac:dyDescent="0.3">
      <c r="A23" t="s">
        <v>21</v>
      </c>
      <c r="B23" s="3">
        <v>44986</v>
      </c>
      <c r="C23">
        <v>15641</v>
      </c>
      <c r="D23">
        <f t="shared" si="0"/>
        <v>122548</v>
      </c>
      <c r="E23">
        <v>138189</v>
      </c>
    </row>
    <row r="24" spans="1:5" x14ac:dyDescent="0.3">
      <c r="A24" t="s">
        <v>22</v>
      </c>
      <c r="B24" s="3">
        <v>44986</v>
      </c>
      <c r="C24">
        <v>143833</v>
      </c>
      <c r="D24">
        <f t="shared" si="0"/>
        <v>989818</v>
      </c>
      <c r="E24">
        <v>1133651</v>
      </c>
    </row>
    <row r="25" spans="1:5" x14ac:dyDescent="0.3">
      <c r="A25" t="s">
        <v>23</v>
      </c>
      <c r="B25" s="3">
        <v>44986</v>
      </c>
      <c r="C25">
        <v>3313</v>
      </c>
      <c r="D25">
        <f t="shared" si="0"/>
        <v>640361</v>
      </c>
      <c r="E25">
        <v>643674</v>
      </c>
    </row>
    <row r="26" spans="1:5" x14ac:dyDescent="0.3">
      <c r="A26" t="s">
        <v>24</v>
      </c>
      <c r="B26" s="3">
        <v>44986</v>
      </c>
      <c r="C26">
        <v>39895</v>
      </c>
      <c r="D26">
        <f t="shared" si="0"/>
        <v>715873</v>
      </c>
      <c r="E26">
        <v>755768</v>
      </c>
    </row>
    <row r="27" spans="1:5" x14ac:dyDescent="0.3">
      <c r="A27" t="s">
        <v>25</v>
      </c>
      <c r="B27" s="3">
        <v>44986</v>
      </c>
      <c r="C27">
        <v>77568</v>
      </c>
      <c r="D27">
        <f t="shared" si="0"/>
        <v>402777</v>
      </c>
      <c r="E27">
        <v>480345</v>
      </c>
    </row>
    <row r="28" spans="1:5" x14ac:dyDescent="0.3">
      <c r="A28" t="s">
        <v>26</v>
      </c>
      <c r="B28" s="3">
        <v>44986</v>
      </c>
      <c r="C28">
        <v>28814</v>
      </c>
      <c r="D28">
        <f t="shared" si="0"/>
        <v>104038</v>
      </c>
      <c r="E28">
        <v>132852</v>
      </c>
    </row>
    <row r="29" spans="1:5" x14ac:dyDescent="0.3">
      <c r="A29" t="s">
        <v>27</v>
      </c>
      <c r="B29" s="3">
        <v>44986</v>
      </c>
      <c r="C29">
        <v>300301</v>
      </c>
      <c r="D29">
        <f t="shared" si="0"/>
        <v>1106530</v>
      </c>
      <c r="E29">
        <v>1406831</v>
      </c>
    </row>
    <row r="30" spans="1:5" x14ac:dyDescent="0.3">
      <c r="A30" t="s">
        <v>28</v>
      </c>
      <c r="B30" s="3">
        <v>44986</v>
      </c>
      <c r="C30">
        <v>3881</v>
      </c>
      <c r="D30">
        <f t="shared" si="0"/>
        <v>55827</v>
      </c>
      <c r="E30">
        <v>59708</v>
      </c>
    </row>
    <row r="31" spans="1:5" x14ac:dyDescent="0.3">
      <c r="A31" t="s">
        <v>29</v>
      </c>
      <c r="B31" s="3">
        <v>44986</v>
      </c>
      <c r="C31">
        <v>42529</v>
      </c>
      <c r="D31">
        <f t="shared" si="0"/>
        <v>161824</v>
      </c>
      <c r="E31">
        <v>204353</v>
      </c>
    </row>
    <row r="32" spans="1:5" x14ac:dyDescent="0.3">
      <c r="A32" t="s">
        <v>30</v>
      </c>
      <c r="B32" s="3">
        <v>44986</v>
      </c>
      <c r="C32">
        <v>23704</v>
      </c>
      <c r="D32">
        <f t="shared" si="0"/>
        <v>84159</v>
      </c>
      <c r="E32">
        <v>107863</v>
      </c>
    </row>
    <row r="33" spans="1:5" x14ac:dyDescent="0.3">
      <c r="A33" t="s">
        <v>31</v>
      </c>
      <c r="B33" s="3">
        <v>44986</v>
      </c>
      <c r="C33">
        <v>268685</v>
      </c>
      <c r="D33">
        <f t="shared" si="0"/>
        <v>693281</v>
      </c>
      <c r="E33">
        <v>961966</v>
      </c>
    </row>
    <row r="34" spans="1:5" x14ac:dyDescent="0.3">
      <c r="A34" t="s">
        <v>32</v>
      </c>
      <c r="B34" s="3">
        <v>44986</v>
      </c>
      <c r="C34">
        <v>54184</v>
      </c>
      <c r="D34">
        <f t="shared" si="0"/>
        <v>331330</v>
      </c>
      <c r="E34">
        <v>385514</v>
      </c>
    </row>
    <row r="35" spans="1:5" x14ac:dyDescent="0.3">
      <c r="A35" t="s">
        <v>33</v>
      </c>
      <c r="B35" s="3">
        <v>44986</v>
      </c>
      <c r="C35">
        <v>55698</v>
      </c>
      <c r="D35">
        <f t="shared" si="0"/>
        <v>309696</v>
      </c>
      <c r="E35">
        <v>365394</v>
      </c>
    </row>
    <row r="36" spans="1:5" x14ac:dyDescent="0.3">
      <c r="A36" t="s">
        <v>34</v>
      </c>
      <c r="B36" s="3">
        <v>44986</v>
      </c>
      <c r="C36">
        <v>529246</v>
      </c>
      <c r="D36">
        <f t="shared" si="0"/>
        <v>2096997</v>
      </c>
      <c r="E36">
        <v>2626243</v>
      </c>
    </row>
    <row r="37" spans="1:5" x14ac:dyDescent="0.3">
      <c r="A37" t="s">
        <v>35</v>
      </c>
      <c r="B37" s="3">
        <v>44986</v>
      </c>
      <c r="C37">
        <v>254452</v>
      </c>
      <c r="D37">
        <f t="shared" si="0"/>
        <v>1109449</v>
      </c>
      <c r="E37">
        <v>1363901</v>
      </c>
    </row>
    <row r="38" spans="1:5" x14ac:dyDescent="0.3">
      <c r="A38" t="s">
        <v>36</v>
      </c>
      <c r="B38" s="3">
        <v>44986</v>
      </c>
      <c r="C38">
        <v>143251</v>
      </c>
      <c r="D38">
        <f t="shared" si="0"/>
        <v>507919</v>
      </c>
      <c r="E38">
        <v>651170</v>
      </c>
    </row>
    <row r="39" spans="1:5" x14ac:dyDescent="0.3">
      <c r="A39" t="s">
        <v>37</v>
      </c>
      <c r="B39" s="3">
        <v>44986</v>
      </c>
      <c r="C39">
        <v>188991</v>
      </c>
      <c r="D39">
        <f t="shared" si="0"/>
        <v>305649</v>
      </c>
      <c r="E39">
        <v>494640</v>
      </c>
    </row>
    <row r="40" spans="1:5" x14ac:dyDescent="0.3">
      <c r="A40" t="s">
        <v>38</v>
      </c>
      <c r="B40" s="3">
        <v>44986</v>
      </c>
      <c r="C40">
        <v>250984</v>
      </c>
      <c r="D40">
        <f t="shared" si="0"/>
        <v>1333346</v>
      </c>
      <c r="E40">
        <v>1584330</v>
      </c>
    </row>
    <row r="41" spans="1:5" x14ac:dyDescent="0.3">
      <c r="A41" t="s">
        <v>39</v>
      </c>
      <c r="B41" s="3">
        <v>44986</v>
      </c>
      <c r="C41">
        <v>37124</v>
      </c>
      <c r="D41">
        <f t="shared" si="0"/>
        <v>92887</v>
      </c>
      <c r="E41">
        <v>130011</v>
      </c>
    </row>
    <row r="42" spans="1:5" x14ac:dyDescent="0.3">
      <c r="A42" t="s">
        <v>40</v>
      </c>
      <c r="B42" s="3">
        <v>44986</v>
      </c>
      <c r="C42">
        <v>111786</v>
      </c>
      <c r="D42">
        <f t="shared" si="0"/>
        <v>648153</v>
      </c>
      <c r="E42">
        <v>759939</v>
      </c>
    </row>
    <row r="43" spans="1:5" x14ac:dyDescent="0.3">
      <c r="A43" t="s">
        <v>41</v>
      </c>
      <c r="B43" s="3">
        <v>44986</v>
      </c>
      <c r="C43">
        <v>19452</v>
      </c>
      <c r="D43">
        <f t="shared" si="0"/>
        <v>82683</v>
      </c>
      <c r="E43">
        <v>102135</v>
      </c>
    </row>
    <row r="44" spans="1:5" x14ac:dyDescent="0.3">
      <c r="A44" t="s">
        <v>42</v>
      </c>
      <c r="B44" s="3">
        <v>44986</v>
      </c>
      <c r="C44">
        <v>148032</v>
      </c>
      <c r="D44">
        <f t="shared" si="0"/>
        <v>801706</v>
      </c>
      <c r="E44">
        <v>949738</v>
      </c>
    </row>
    <row r="45" spans="1:5" x14ac:dyDescent="0.3">
      <c r="A45" t="s">
        <v>43</v>
      </c>
      <c r="B45" s="3">
        <v>44986</v>
      </c>
      <c r="C45">
        <v>281452</v>
      </c>
      <c r="D45">
        <f t="shared" si="0"/>
        <v>4090702</v>
      </c>
      <c r="E45">
        <v>4372154</v>
      </c>
    </row>
    <row r="46" spans="1:5" x14ac:dyDescent="0.3">
      <c r="A46" t="s">
        <v>44</v>
      </c>
      <c r="B46" s="3">
        <v>44986</v>
      </c>
      <c r="C46">
        <v>38339</v>
      </c>
      <c r="D46">
        <f t="shared" si="0"/>
        <v>201228</v>
      </c>
      <c r="E46">
        <v>239567</v>
      </c>
    </row>
    <row r="47" spans="1:5" x14ac:dyDescent="0.3">
      <c r="A47" t="s">
        <v>45</v>
      </c>
      <c r="B47" s="3">
        <v>44986</v>
      </c>
      <c r="C47">
        <v>192748</v>
      </c>
      <c r="D47">
        <f t="shared" si="0"/>
        <v>744703</v>
      </c>
      <c r="E47">
        <v>937451</v>
      </c>
    </row>
    <row r="48" spans="1:5" x14ac:dyDescent="0.3">
      <c r="A48" t="s">
        <v>46</v>
      </c>
      <c r="B48" s="3">
        <v>44986</v>
      </c>
      <c r="C48">
        <v>4584</v>
      </c>
      <c r="D48">
        <f t="shared" si="0"/>
        <v>60863</v>
      </c>
      <c r="E48">
        <v>65447</v>
      </c>
    </row>
    <row r="49" spans="1:5" x14ac:dyDescent="0.3">
      <c r="A49" t="s">
        <v>47</v>
      </c>
      <c r="B49" s="3">
        <v>44986</v>
      </c>
      <c r="C49">
        <v>80027</v>
      </c>
      <c r="D49">
        <f t="shared" si="0"/>
        <v>830541</v>
      </c>
      <c r="E49">
        <v>910568</v>
      </c>
    </row>
    <row r="50" spans="1:5" x14ac:dyDescent="0.3">
      <c r="A50" t="s">
        <v>48</v>
      </c>
      <c r="B50" s="3">
        <v>44986</v>
      </c>
      <c r="C50">
        <v>79903</v>
      </c>
      <c r="D50">
        <f t="shared" si="0"/>
        <v>568864</v>
      </c>
      <c r="E50">
        <v>648767</v>
      </c>
    </row>
    <row r="51" spans="1:5" x14ac:dyDescent="0.3">
      <c r="A51" t="s">
        <v>49</v>
      </c>
      <c r="B51" s="3">
        <v>44986</v>
      </c>
      <c r="C51">
        <v>37872</v>
      </c>
      <c r="D51">
        <f t="shared" si="0"/>
        <v>200202</v>
      </c>
      <c r="E51">
        <v>238074</v>
      </c>
    </row>
    <row r="52" spans="1:5" x14ac:dyDescent="0.3">
      <c r="A52" t="s">
        <v>50</v>
      </c>
      <c r="B52" s="3">
        <v>44986</v>
      </c>
      <c r="C52">
        <v>5303</v>
      </c>
      <c r="D52">
        <f t="shared" si="0"/>
        <v>48085</v>
      </c>
      <c r="E52">
        <v>53388</v>
      </c>
    </row>
    <row r="53" spans="1:5" x14ac:dyDescent="0.3">
      <c r="A53" s="1" t="s">
        <v>63</v>
      </c>
      <c r="B53" s="8">
        <v>44986</v>
      </c>
      <c r="C53" s="1">
        <f>SUM(C2:C52)</f>
        <v>7163448</v>
      </c>
      <c r="D53" s="1">
        <f>SUM(D2:D52)</f>
        <v>35171296</v>
      </c>
      <c r="E53" s="1">
        <f>SUM(E2:E52)</f>
        <v>42187531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18180-16E9-4134-A7AF-5A3A237EE9A0}">
  <dimension ref="A1:C46"/>
  <sheetViews>
    <sheetView topLeftCell="A16" workbookViewId="0">
      <selection activeCell="I38" sqref="I38"/>
    </sheetView>
  </sheetViews>
  <sheetFormatPr defaultRowHeight="14.4" x14ac:dyDescent="0.3"/>
  <cols>
    <col min="1" max="1" width="18.6640625" bestFit="1" customWidth="1"/>
    <col min="2" max="2" width="18.6640625" customWidth="1"/>
    <col min="3" max="3" width="14.6640625" style="2" bestFit="1" customWidth="1"/>
  </cols>
  <sheetData>
    <row r="1" spans="1:3" s="1" customFormat="1" x14ac:dyDescent="0.3">
      <c r="A1" s="1" t="s">
        <v>51</v>
      </c>
      <c r="B1" s="1" t="s">
        <v>52</v>
      </c>
      <c r="C1" s="6" t="s">
        <v>62</v>
      </c>
    </row>
    <row r="2" spans="1:3" x14ac:dyDescent="0.3">
      <c r="A2" t="s">
        <v>7</v>
      </c>
      <c r="B2" s="3">
        <v>46023</v>
      </c>
      <c r="C2" s="2">
        <v>15722</v>
      </c>
    </row>
    <row r="3" spans="1:3" x14ac:dyDescent="0.3">
      <c r="A3" t="s">
        <v>23</v>
      </c>
      <c r="B3" s="3">
        <v>46023</v>
      </c>
      <c r="C3" s="2">
        <v>78540</v>
      </c>
    </row>
    <row r="4" spans="1:3" x14ac:dyDescent="0.3">
      <c r="A4" t="s">
        <v>34</v>
      </c>
      <c r="B4" s="3">
        <v>46023</v>
      </c>
      <c r="C4" s="2">
        <v>1720756</v>
      </c>
    </row>
    <row r="5" spans="1:3" x14ac:dyDescent="0.3">
      <c r="A5" t="s">
        <v>37</v>
      </c>
      <c r="B5" s="3">
        <v>46023</v>
      </c>
      <c r="C5" s="2">
        <v>36176</v>
      </c>
    </row>
    <row r="6" spans="1:3" x14ac:dyDescent="0.3">
      <c r="A6" t="s">
        <v>63</v>
      </c>
      <c r="B6" s="3">
        <v>46023</v>
      </c>
      <c r="C6" s="2">
        <f>SUM(C2:C5)</f>
        <v>1851194</v>
      </c>
    </row>
    <row r="7" spans="1:3" x14ac:dyDescent="0.3">
      <c r="A7" t="s">
        <v>7</v>
      </c>
      <c r="B7" s="3">
        <v>46054</v>
      </c>
      <c r="C7" s="2" t="s">
        <v>82</v>
      </c>
    </row>
    <row r="8" spans="1:3" x14ac:dyDescent="0.3">
      <c r="A8" t="s">
        <v>23</v>
      </c>
      <c r="B8" s="3">
        <v>46054</v>
      </c>
      <c r="C8" s="2">
        <v>73536</v>
      </c>
    </row>
    <row r="9" spans="1:3" x14ac:dyDescent="0.3">
      <c r="A9" t="s">
        <v>34</v>
      </c>
      <c r="B9" s="3">
        <v>46054</v>
      </c>
      <c r="C9" s="2">
        <v>1714745</v>
      </c>
    </row>
    <row r="10" spans="1:3" x14ac:dyDescent="0.3">
      <c r="A10" t="s">
        <v>37</v>
      </c>
      <c r="B10" s="3">
        <v>46054</v>
      </c>
      <c r="C10" s="2">
        <v>39034</v>
      </c>
    </row>
    <row r="11" spans="1:3" x14ac:dyDescent="0.3">
      <c r="A11" t="s">
        <v>63</v>
      </c>
      <c r="B11" s="3">
        <v>46054</v>
      </c>
      <c r="C11" s="2" t="s">
        <v>82</v>
      </c>
    </row>
    <row r="12" spans="1:3" x14ac:dyDescent="0.3">
      <c r="A12" t="s">
        <v>7</v>
      </c>
      <c r="B12" s="3">
        <v>46082</v>
      </c>
      <c r="C12" s="2" t="s">
        <v>82</v>
      </c>
    </row>
    <row r="13" spans="1:3" x14ac:dyDescent="0.3">
      <c r="A13" t="s">
        <v>23</v>
      </c>
      <c r="B13" s="3">
        <v>46082</v>
      </c>
      <c r="C13" s="2">
        <v>79760</v>
      </c>
    </row>
    <row r="14" spans="1:3" x14ac:dyDescent="0.3">
      <c r="A14" t="s">
        <v>34</v>
      </c>
      <c r="B14" s="3">
        <v>46082</v>
      </c>
      <c r="C14" s="2">
        <v>1691590</v>
      </c>
    </row>
    <row r="15" spans="1:3" x14ac:dyDescent="0.3">
      <c r="A15" t="s">
        <v>37</v>
      </c>
      <c r="B15" s="3">
        <v>46082</v>
      </c>
      <c r="C15" s="2">
        <v>41078</v>
      </c>
    </row>
    <row r="16" spans="1:3" x14ac:dyDescent="0.3">
      <c r="A16" t="s">
        <v>63</v>
      </c>
      <c r="B16" s="3">
        <v>46082</v>
      </c>
      <c r="C16" s="2" t="s">
        <v>82</v>
      </c>
    </row>
    <row r="17" spans="1:3" x14ac:dyDescent="0.3">
      <c r="A17" t="s">
        <v>7</v>
      </c>
      <c r="B17" s="3">
        <v>46113</v>
      </c>
      <c r="C17" s="2" t="s">
        <v>82</v>
      </c>
    </row>
    <row r="18" spans="1:3" x14ac:dyDescent="0.3">
      <c r="A18" t="s">
        <v>23</v>
      </c>
      <c r="B18" s="3">
        <v>46113</v>
      </c>
      <c r="C18" s="2">
        <v>84636</v>
      </c>
    </row>
    <row r="19" spans="1:3" x14ac:dyDescent="0.3">
      <c r="A19" t="s">
        <v>34</v>
      </c>
      <c r="B19" s="3">
        <v>46113</v>
      </c>
      <c r="C19" s="2">
        <v>1679154</v>
      </c>
    </row>
    <row r="20" spans="1:3" x14ac:dyDescent="0.3">
      <c r="A20" t="s">
        <v>37</v>
      </c>
      <c r="B20" s="3">
        <v>46113</v>
      </c>
      <c r="C20" s="2">
        <v>43865</v>
      </c>
    </row>
    <row r="21" spans="1:3" x14ac:dyDescent="0.3">
      <c r="A21" t="s">
        <v>63</v>
      </c>
      <c r="B21" s="3">
        <v>46113</v>
      </c>
      <c r="C21" s="2" t="s">
        <v>82</v>
      </c>
    </row>
    <row r="22" spans="1:3" x14ac:dyDescent="0.3">
      <c r="A22" t="s">
        <v>7</v>
      </c>
      <c r="B22" s="3">
        <v>46143</v>
      </c>
    </row>
    <row r="23" spans="1:3" x14ac:dyDescent="0.3">
      <c r="A23" t="s">
        <v>23</v>
      </c>
      <c r="B23" s="3">
        <v>46143</v>
      </c>
      <c r="C23" s="2">
        <v>87391</v>
      </c>
    </row>
    <row r="24" spans="1:3" x14ac:dyDescent="0.3">
      <c r="A24" t="s">
        <v>34</v>
      </c>
      <c r="B24" s="3">
        <v>46143</v>
      </c>
      <c r="C24" s="2">
        <v>1663063</v>
      </c>
    </row>
    <row r="25" spans="1:3" x14ac:dyDescent="0.3">
      <c r="A25" t="s">
        <v>37</v>
      </c>
      <c r="B25" s="3">
        <v>46143</v>
      </c>
      <c r="C25" s="2">
        <v>45108</v>
      </c>
    </row>
    <row r="26" spans="1:3" x14ac:dyDescent="0.3">
      <c r="A26" t="s">
        <v>63</v>
      </c>
      <c r="B26" s="3">
        <v>46143</v>
      </c>
    </row>
    <row r="27" spans="1:3" x14ac:dyDescent="0.3">
      <c r="A27" t="s">
        <v>7</v>
      </c>
      <c r="B27" s="3">
        <v>46174</v>
      </c>
    </row>
    <row r="28" spans="1:3" x14ac:dyDescent="0.3">
      <c r="A28" t="s">
        <v>23</v>
      </c>
      <c r="B28" s="3">
        <v>46174</v>
      </c>
      <c r="C28" s="2">
        <v>87752</v>
      </c>
    </row>
    <row r="29" spans="1:3" x14ac:dyDescent="0.3">
      <c r="A29" t="s">
        <v>34</v>
      </c>
      <c r="B29" s="3">
        <v>46174</v>
      </c>
      <c r="C29" s="2">
        <v>1319514</v>
      </c>
    </row>
    <row r="30" spans="1:3" x14ac:dyDescent="0.3">
      <c r="A30" t="s">
        <v>37</v>
      </c>
      <c r="B30" s="3">
        <v>46174</v>
      </c>
      <c r="C30" s="2">
        <v>45804</v>
      </c>
    </row>
    <row r="31" spans="1:3" x14ac:dyDescent="0.3">
      <c r="A31" t="s">
        <v>63</v>
      </c>
      <c r="B31" s="3">
        <v>46174</v>
      </c>
    </row>
    <row r="32" spans="1:3" x14ac:dyDescent="0.3">
      <c r="A32" t="s">
        <v>7</v>
      </c>
      <c r="B32" s="3">
        <v>46204</v>
      </c>
    </row>
    <row r="33" spans="1:3" x14ac:dyDescent="0.3">
      <c r="A33" t="s">
        <v>23</v>
      </c>
      <c r="B33" s="3">
        <v>46204</v>
      </c>
      <c r="C33" s="2">
        <v>85225</v>
      </c>
    </row>
    <row r="34" spans="1:3" x14ac:dyDescent="0.3">
      <c r="A34" t="s">
        <v>34</v>
      </c>
      <c r="B34" s="3">
        <v>46204</v>
      </c>
      <c r="C34" s="2">
        <v>1340874</v>
      </c>
    </row>
    <row r="35" spans="1:3" x14ac:dyDescent="0.3">
      <c r="A35" t="s">
        <v>37</v>
      </c>
      <c r="B35" s="3">
        <v>46204</v>
      </c>
      <c r="C35" s="2">
        <v>45140</v>
      </c>
    </row>
    <row r="36" spans="1:3" x14ac:dyDescent="0.3">
      <c r="A36" t="s">
        <v>63</v>
      </c>
      <c r="B36" s="3">
        <v>46204</v>
      </c>
    </row>
    <row r="37" spans="1:3" x14ac:dyDescent="0.3">
      <c r="A37" t="s">
        <v>7</v>
      </c>
      <c r="B37" s="3">
        <v>46235</v>
      </c>
    </row>
    <row r="38" spans="1:3" x14ac:dyDescent="0.3">
      <c r="A38" t="s">
        <v>23</v>
      </c>
      <c r="B38" s="3">
        <v>46235</v>
      </c>
      <c r="C38" s="2">
        <v>85669</v>
      </c>
    </row>
    <row r="39" spans="1:3" x14ac:dyDescent="0.3">
      <c r="A39" t="s">
        <v>34</v>
      </c>
      <c r="B39" s="3">
        <v>46235</v>
      </c>
      <c r="C39" s="2">
        <v>1361018</v>
      </c>
    </row>
    <row r="40" spans="1:3" x14ac:dyDescent="0.3">
      <c r="A40" t="s">
        <v>37</v>
      </c>
      <c r="B40" s="3">
        <v>46235</v>
      </c>
      <c r="C40" s="2">
        <v>43953</v>
      </c>
    </row>
    <row r="41" spans="1:3" x14ac:dyDescent="0.3">
      <c r="A41" t="s">
        <v>63</v>
      </c>
      <c r="B41" s="3">
        <v>46235</v>
      </c>
    </row>
    <row r="42" spans="1:3" x14ac:dyDescent="0.3">
      <c r="A42" t="s">
        <v>7</v>
      </c>
      <c r="B42" s="3">
        <v>46266</v>
      </c>
    </row>
    <row r="43" spans="1:3" x14ac:dyDescent="0.3">
      <c r="A43" t="s">
        <v>23</v>
      </c>
      <c r="B43" s="3">
        <v>46266</v>
      </c>
      <c r="C43" s="2">
        <v>85353</v>
      </c>
    </row>
    <row r="44" spans="1:3" x14ac:dyDescent="0.3">
      <c r="A44" t="s">
        <v>34</v>
      </c>
      <c r="B44" s="3">
        <v>46266</v>
      </c>
      <c r="C44" s="2">
        <v>1371273</v>
      </c>
    </row>
    <row r="45" spans="1:3" x14ac:dyDescent="0.3">
      <c r="A45" t="s">
        <v>37</v>
      </c>
      <c r="B45" s="3">
        <v>46266</v>
      </c>
    </row>
    <row r="46" spans="1:3" x14ac:dyDescent="0.3">
      <c r="A46" t="s">
        <v>63</v>
      </c>
      <c r="B46" s="3">
        <v>46266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0077B-CC04-42DE-B4CB-18359DAB49B8}">
  <dimension ref="A1:R313"/>
  <sheetViews>
    <sheetView workbookViewId="0">
      <selection activeCell="D125" sqref="D125"/>
    </sheetView>
  </sheetViews>
  <sheetFormatPr defaultRowHeight="14.4" x14ac:dyDescent="0.3"/>
  <cols>
    <col min="1" max="1" width="19.44140625" customWidth="1"/>
    <col min="2" max="2" width="16.33203125" bestFit="1" customWidth="1"/>
    <col min="3" max="3" width="8.6640625" bestFit="1" customWidth="1"/>
    <col min="4" max="4" width="52" bestFit="1" customWidth="1"/>
    <col min="5" max="5" width="16" bestFit="1" customWidth="1"/>
    <col min="6" max="6" width="17.88671875" bestFit="1" customWidth="1"/>
    <col min="7" max="7" width="19" bestFit="1" customWidth="1"/>
    <col min="8" max="8" width="22.6640625" bestFit="1" customWidth="1"/>
    <col min="9" max="9" width="17.88671875" bestFit="1" customWidth="1"/>
    <col min="10" max="10" width="28" bestFit="1" customWidth="1"/>
    <col min="11" max="11" width="21.109375" bestFit="1" customWidth="1"/>
    <col min="12" max="12" width="46.33203125" bestFit="1" customWidth="1"/>
    <col min="13" max="13" width="60.88671875" bestFit="1" customWidth="1"/>
    <col min="14" max="14" width="12.5546875" bestFit="1" customWidth="1"/>
    <col min="15" max="17" width="10.5546875" bestFit="1" customWidth="1"/>
    <col min="18" max="18" width="9" bestFit="1" customWidth="1"/>
  </cols>
  <sheetData>
    <row r="1" spans="1:18" s="1" customFormat="1" x14ac:dyDescent="0.3">
      <c r="A1" s="1" t="s">
        <v>51</v>
      </c>
      <c r="B1" s="1" t="s">
        <v>52</v>
      </c>
      <c r="C1" s="1" t="s">
        <v>64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</row>
    <row r="2" spans="1:18" x14ac:dyDescent="0.3">
      <c r="A2" t="s">
        <v>0</v>
      </c>
      <c r="B2" s="3" t="s">
        <v>91</v>
      </c>
      <c r="C2" t="s">
        <v>73</v>
      </c>
      <c r="D2" s="2">
        <v>26079</v>
      </c>
      <c r="E2" s="2">
        <v>4584</v>
      </c>
      <c r="F2" s="2">
        <v>21495</v>
      </c>
      <c r="G2" s="2">
        <v>15845</v>
      </c>
      <c r="H2" s="2">
        <v>5650</v>
      </c>
      <c r="I2" s="5">
        <v>1043</v>
      </c>
      <c r="J2" s="5">
        <v>344</v>
      </c>
      <c r="K2">
        <v>19249</v>
      </c>
      <c r="L2" s="5">
        <v>947</v>
      </c>
      <c r="M2" s="5">
        <v>114</v>
      </c>
      <c r="N2" s="2" t="s">
        <v>82</v>
      </c>
      <c r="O2" s="2">
        <v>12441</v>
      </c>
      <c r="P2" s="2">
        <v>2618</v>
      </c>
      <c r="Q2" s="2">
        <v>11020</v>
      </c>
      <c r="R2" s="2" t="s">
        <v>82</v>
      </c>
    </row>
    <row r="3" spans="1:18" x14ac:dyDescent="0.3">
      <c r="A3" t="s">
        <v>1</v>
      </c>
      <c r="B3" s="3" t="s">
        <v>91</v>
      </c>
      <c r="C3" t="s">
        <v>73</v>
      </c>
      <c r="D3" s="2">
        <v>455776</v>
      </c>
      <c r="E3" s="2">
        <v>60346</v>
      </c>
      <c r="F3" s="2">
        <v>395430</v>
      </c>
      <c r="G3" s="2">
        <v>193074</v>
      </c>
      <c r="H3" s="2">
        <v>202356</v>
      </c>
      <c r="I3" s="5">
        <v>743</v>
      </c>
      <c r="J3" s="5">
        <v>126</v>
      </c>
      <c r="K3">
        <v>415172</v>
      </c>
      <c r="L3" s="5">
        <v>678</v>
      </c>
      <c r="M3" s="5">
        <v>70</v>
      </c>
      <c r="N3" s="2">
        <v>1718</v>
      </c>
      <c r="O3" s="2">
        <v>198749</v>
      </c>
      <c r="P3" s="2">
        <v>248467</v>
      </c>
      <c r="Q3" s="2">
        <v>6842</v>
      </c>
      <c r="R3" s="2" t="s">
        <v>82</v>
      </c>
    </row>
    <row r="4" spans="1:18" x14ac:dyDescent="0.3">
      <c r="A4" t="s">
        <v>2</v>
      </c>
      <c r="B4" s="3" t="s">
        <v>91</v>
      </c>
      <c r="C4" t="s">
        <v>73</v>
      </c>
      <c r="D4" s="2">
        <v>160307</v>
      </c>
      <c r="E4" s="2">
        <v>29746</v>
      </c>
      <c r="F4" s="2">
        <v>130561</v>
      </c>
      <c r="G4" s="2">
        <v>76556</v>
      </c>
      <c r="H4" s="2">
        <v>54005</v>
      </c>
      <c r="I4" s="5">
        <v>839</v>
      </c>
      <c r="J4" s="5">
        <v>162</v>
      </c>
      <c r="K4">
        <v>139372</v>
      </c>
      <c r="L4" s="5">
        <v>779</v>
      </c>
      <c r="M4" s="5">
        <v>79</v>
      </c>
      <c r="N4" s="2">
        <v>1217</v>
      </c>
      <c r="O4" s="2">
        <v>52071</v>
      </c>
      <c r="P4" s="2">
        <v>55449</v>
      </c>
      <c r="Q4" s="2">
        <v>50562</v>
      </c>
      <c r="R4" s="2">
        <v>1008</v>
      </c>
    </row>
    <row r="5" spans="1:18" x14ac:dyDescent="0.3">
      <c r="A5" t="s">
        <v>3</v>
      </c>
      <c r="B5" s="3" t="s">
        <v>91</v>
      </c>
      <c r="C5" t="s">
        <v>73</v>
      </c>
      <c r="D5" s="2">
        <v>357144</v>
      </c>
      <c r="E5" s="2">
        <v>56742</v>
      </c>
      <c r="F5" s="2">
        <v>300402</v>
      </c>
      <c r="G5" s="2">
        <v>172889</v>
      </c>
      <c r="H5" s="2">
        <v>127513</v>
      </c>
      <c r="I5" s="5">
        <v>688</v>
      </c>
      <c r="J5" s="5">
        <v>229</v>
      </c>
      <c r="K5">
        <v>295299</v>
      </c>
      <c r="L5" s="5">
        <v>555</v>
      </c>
      <c r="M5" s="5">
        <v>133</v>
      </c>
      <c r="N5" s="2">
        <v>737</v>
      </c>
      <c r="O5" s="2">
        <v>200376</v>
      </c>
      <c r="P5" s="2">
        <v>142749</v>
      </c>
      <c r="Q5" s="2">
        <v>13282</v>
      </c>
      <c r="R5" s="2" t="s">
        <v>82</v>
      </c>
    </row>
    <row r="6" spans="1:18" x14ac:dyDescent="0.3">
      <c r="A6" t="s">
        <v>65</v>
      </c>
      <c r="B6" s="3" t="s">
        <v>91</v>
      </c>
      <c r="C6" t="s">
        <v>74</v>
      </c>
      <c r="D6" s="2">
        <v>1927371</v>
      </c>
      <c r="E6" s="2">
        <v>235055</v>
      </c>
      <c r="F6" s="2">
        <v>1692316</v>
      </c>
      <c r="G6" s="2">
        <v>538476</v>
      </c>
      <c r="H6" s="2">
        <v>1153840</v>
      </c>
      <c r="I6" s="5">
        <v>737</v>
      </c>
      <c r="J6" s="5">
        <v>264</v>
      </c>
      <c r="K6">
        <v>1577627</v>
      </c>
      <c r="L6" s="5">
        <v>579</v>
      </c>
      <c r="M6" s="5">
        <v>165</v>
      </c>
      <c r="N6" s="2">
        <v>15592</v>
      </c>
      <c r="O6" s="2">
        <v>564476</v>
      </c>
      <c r="P6" s="2">
        <v>1181687</v>
      </c>
      <c r="Q6" s="2">
        <v>107896</v>
      </c>
      <c r="R6" s="2">
        <v>57720</v>
      </c>
    </row>
    <row r="7" spans="1:18" x14ac:dyDescent="0.3">
      <c r="A7" t="s">
        <v>66</v>
      </c>
      <c r="B7" s="3" t="s">
        <v>91</v>
      </c>
      <c r="C7" t="s">
        <v>74</v>
      </c>
      <c r="D7" s="2">
        <v>277238</v>
      </c>
      <c r="E7" s="2">
        <v>37335</v>
      </c>
      <c r="F7" s="2">
        <v>239903</v>
      </c>
      <c r="G7" s="2">
        <v>146249</v>
      </c>
      <c r="H7" s="2">
        <v>93654</v>
      </c>
      <c r="I7" s="5">
        <v>673</v>
      </c>
      <c r="J7" s="5">
        <v>318</v>
      </c>
      <c r="K7">
        <v>191153</v>
      </c>
      <c r="L7" s="5">
        <v>511</v>
      </c>
      <c r="M7" s="5">
        <v>187</v>
      </c>
      <c r="N7" s="2">
        <v>1375</v>
      </c>
      <c r="O7" s="2">
        <v>106571</v>
      </c>
      <c r="P7" s="2">
        <v>80695</v>
      </c>
      <c r="Q7" s="2">
        <v>88597</v>
      </c>
      <c r="R7" s="2" t="s">
        <v>82</v>
      </c>
    </row>
    <row r="8" spans="1:18" x14ac:dyDescent="0.3">
      <c r="A8" t="s">
        <v>67</v>
      </c>
      <c r="B8" s="3" t="s">
        <v>91</v>
      </c>
      <c r="C8" t="s">
        <v>74</v>
      </c>
      <c r="D8" s="2">
        <v>156745</v>
      </c>
      <c r="E8" s="2">
        <v>26902</v>
      </c>
      <c r="F8" s="2">
        <v>129843</v>
      </c>
      <c r="G8" s="2">
        <v>55130</v>
      </c>
      <c r="H8" s="2">
        <v>74713</v>
      </c>
      <c r="I8" s="5">
        <v>1030</v>
      </c>
      <c r="J8" s="5">
        <v>277</v>
      </c>
      <c r="K8">
        <v>123873</v>
      </c>
      <c r="L8" s="5">
        <v>952</v>
      </c>
      <c r="M8" s="5">
        <v>100</v>
      </c>
      <c r="N8" s="2">
        <v>1741</v>
      </c>
      <c r="O8" s="2">
        <v>38213</v>
      </c>
      <c r="P8" s="2">
        <v>101603</v>
      </c>
      <c r="Q8" s="2">
        <v>15188</v>
      </c>
      <c r="R8" s="2" t="s">
        <v>82</v>
      </c>
    </row>
    <row r="9" spans="1:18" x14ac:dyDescent="0.3">
      <c r="A9" t="s">
        <v>68</v>
      </c>
      <c r="B9" s="3" t="s">
        <v>91</v>
      </c>
      <c r="C9" t="s">
        <v>74</v>
      </c>
      <c r="D9" s="2">
        <v>16053</v>
      </c>
      <c r="E9" s="2">
        <v>3522</v>
      </c>
      <c r="F9" s="2">
        <v>12531</v>
      </c>
      <c r="G9" s="2">
        <v>1456</v>
      </c>
      <c r="H9" s="2">
        <v>11075</v>
      </c>
      <c r="I9" s="5">
        <v>815</v>
      </c>
      <c r="J9" s="5">
        <v>725</v>
      </c>
      <c r="K9">
        <v>3012</v>
      </c>
      <c r="L9" s="5">
        <v>480</v>
      </c>
      <c r="M9" s="5">
        <v>398</v>
      </c>
      <c r="N9" s="2">
        <v>433</v>
      </c>
      <c r="O9" s="2">
        <v>5263</v>
      </c>
      <c r="P9" s="2">
        <v>3356</v>
      </c>
      <c r="Q9" s="2">
        <v>4705</v>
      </c>
      <c r="R9" s="2">
        <v>2296</v>
      </c>
    </row>
    <row r="10" spans="1:18" x14ac:dyDescent="0.3">
      <c r="A10" t="s">
        <v>8</v>
      </c>
      <c r="B10" s="3" t="s">
        <v>91</v>
      </c>
      <c r="C10" t="s">
        <v>73</v>
      </c>
      <c r="D10" s="2">
        <v>44663</v>
      </c>
      <c r="E10" s="2">
        <v>6758</v>
      </c>
      <c r="F10" s="2">
        <v>37905</v>
      </c>
      <c r="G10" s="2">
        <v>23460</v>
      </c>
      <c r="H10" s="2">
        <v>14445</v>
      </c>
      <c r="I10" s="5">
        <v>901</v>
      </c>
      <c r="J10" s="5">
        <v>320</v>
      </c>
      <c r="K10">
        <v>36026</v>
      </c>
      <c r="L10" s="5">
        <v>720</v>
      </c>
      <c r="M10" s="5">
        <v>172</v>
      </c>
      <c r="N10" s="2">
        <v>1123</v>
      </c>
      <c r="O10" s="2">
        <v>20891</v>
      </c>
      <c r="P10" s="2">
        <v>10629</v>
      </c>
      <c r="Q10" s="2">
        <v>11564</v>
      </c>
      <c r="R10" s="2">
        <v>456</v>
      </c>
    </row>
    <row r="11" spans="1:18" x14ac:dyDescent="0.3">
      <c r="A11" t="s">
        <v>9</v>
      </c>
      <c r="B11" s="3" t="s">
        <v>91</v>
      </c>
      <c r="C11" t="s">
        <v>73</v>
      </c>
      <c r="D11" s="2">
        <v>4538772</v>
      </c>
      <c r="E11" s="2">
        <v>725149</v>
      </c>
      <c r="F11" s="2">
        <v>3813623</v>
      </c>
      <c r="G11" s="2">
        <v>2786806</v>
      </c>
      <c r="H11" s="2">
        <v>1026817</v>
      </c>
      <c r="I11" s="5">
        <v>806</v>
      </c>
      <c r="J11" s="5">
        <v>106</v>
      </c>
      <c r="K11">
        <v>4295772</v>
      </c>
      <c r="L11" s="5">
        <v>740</v>
      </c>
      <c r="M11" s="5">
        <v>62</v>
      </c>
      <c r="N11" s="2">
        <v>3437</v>
      </c>
      <c r="O11" s="2">
        <v>1677199</v>
      </c>
      <c r="P11" s="2">
        <v>2228615</v>
      </c>
      <c r="Q11" s="2">
        <v>624080</v>
      </c>
      <c r="R11" s="2">
        <v>5441</v>
      </c>
    </row>
    <row r="12" spans="1:18" x14ac:dyDescent="0.3">
      <c r="A12" t="s">
        <v>10</v>
      </c>
      <c r="B12" s="3" t="s">
        <v>91</v>
      </c>
      <c r="C12" t="s">
        <v>74</v>
      </c>
      <c r="D12" s="2">
        <v>1324295</v>
      </c>
      <c r="E12" s="2">
        <v>192032</v>
      </c>
      <c r="F12" s="2">
        <v>1132263</v>
      </c>
      <c r="G12" s="2">
        <v>510966</v>
      </c>
      <c r="H12" s="2">
        <v>621297</v>
      </c>
      <c r="I12" s="5">
        <v>777</v>
      </c>
      <c r="J12" s="5">
        <v>164</v>
      </c>
      <c r="K12">
        <v>1180015</v>
      </c>
      <c r="L12" s="5">
        <v>688</v>
      </c>
      <c r="M12" s="5">
        <v>89</v>
      </c>
      <c r="N12" s="2">
        <v>574</v>
      </c>
      <c r="O12" s="2">
        <v>512136</v>
      </c>
      <c r="P12" s="2">
        <v>750552</v>
      </c>
      <c r="Q12" s="2">
        <v>59512</v>
      </c>
      <c r="R12" s="2">
        <v>1521</v>
      </c>
    </row>
    <row r="13" spans="1:18" x14ac:dyDescent="0.3">
      <c r="A13" t="s">
        <v>11</v>
      </c>
      <c r="B13" s="3" t="s">
        <v>91</v>
      </c>
      <c r="C13" t="s">
        <v>73</v>
      </c>
      <c r="D13" s="2">
        <v>23380</v>
      </c>
      <c r="E13" s="2">
        <v>4130</v>
      </c>
      <c r="F13" s="2">
        <v>19250</v>
      </c>
      <c r="G13" s="2">
        <v>12614</v>
      </c>
      <c r="H13" s="2">
        <v>6636</v>
      </c>
      <c r="I13" s="5">
        <v>778</v>
      </c>
      <c r="J13" s="5">
        <v>372</v>
      </c>
      <c r="K13">
        <v>16702</v>
      </c>
      <c r="L13" s="5">
        <v>568</v>
      </c>
      <c r="M13" s="5">
        <v>243</v>
      </c>
      <c r="N13" s="2">
        <v>446</v>
      </c>
      <c r="O13" s="2">
        <v>9317</v>
      </c>
      <c r="P13" s="2">
        <v>5663</v>
      </c>
      <c r="Q13" s="2">
        <v>4585</v>
      </c>
      <c r="R13" s="2">
        <v>3369</v>
      </c>
    </row>
    <row r="14" spans="1:18" x14ac:dyDescent="0.3">
      <c r="A14" t="s">
        <v>12</v>
      </c>
      <c r="B14" s="3" t="s">
        <v>91</v>
      </c>
      <c r="C14" t="s">
        <v>73</v>
      </c>
      <c r="D14" s="2">
        <v>123304</v>
      </c>
      <c r="E14" s="2">
        <v>17687</v>
      </c>
      <c r="F14" s="2">
        <v>105617</v>
      </c>
      <c r="G14" s="2">
        <v>65823</v>
      </c>
      <c r="H14" s="2">
        <v>39794</v>
      </c>
      <c r="I14" s="5">
        <v>615</v>
      </c>
      <c r="J14" s="5">
        <v>235</v>
      </c>
      <c r="K14">
        <v>93877</v>
      </c>
      <c r="L14" s="5">
        <v>499</v>
      </c>
      <c r="M14" s="5">
        <v>134</v>
      </c>
      <c r="N14" s="2">
        <v>184</v>
      </c>
      <c r="O14" s="2">
        <v>59093</v>
      </c>
      <c r="P14" s="2">
        <v>28134</v>
      </c>
      <c r="Q14" s="2">
        <v>35893</v>
      </c>
      <c r="R14" s="2" t="s">
        <v>82</v>
      </c>
    </row>
    <row r="15" spans="1:18" x14ac:dyDescent="0.3">
      <c r="A15" t="s">
        <v>69</v>
      </c>
      <c r="B15" s="3" t="s">
        <v>91</v>
      </c>
      <c r="C15" t="s">
        <v>74</v>
      </c>
      <c r="D15" s="2">
        <v>120426</v>
      </c>
      <c r="E15" s="2">
        <v>15959</v>
      </c>
      <c r="F15" s="2">
        <v>104467</v>
      </c>
      <c r="G15" s="2">
        <v>33279</v>
      </c>
      <c r="H15" s="2">
        <v>71188</v>
      </c>
      <c r="I15" s="5">
        <v>509</v>
      </c>
      <c r="J15" s="5">
        <v>202</v>
      </c>
      <c r="K15">
        <v>92090</v>
      </c>
      <c r="L15" s="5">
        <v>402</v>
      </c>
      <c r="M15" s="5">
        <v>108</v>
      </c>
      <c r="N15" s="2">
        <v>563</v>
      </c>
      <c r="O15" s="2">
        <v>70540</v>
      </c>
      <c r="P15" s="2">
        <v>36828</v>
      </c>
      <c r="Q15" s="2">
        <v>11669</v>
      </c>
      <c r="R15" s="2">
        <v>826</v>
      </c>
    </row>
    <row r="16" spans="1:18" x14ac:dyDescent="0.3">
      <c r="A16" t="s">
        <v>14</v>
      </c>
      <c r="B16" s="3" t="s">
        <v>91</v>
      </c>
      <c r="C16" t="s">
        <v>74</v>
      </c>
      <c r="D16" s="2">
        <v>448568</v>
      </c>
      <c r="E16" s="2">
        <v>74773</v>
      </c>
      <c r="F16" s="2">
        <v>373795</v>
      </c>
      <c r="G16" s="2">
        <v>182167</v>
      </c>
      <c r="H16" s="2">
        <v>191628</v>
      </c>
      <c r="I16" s="5">
        <v>816</v>
      </c>
      <c r="J16" s="5">
        <v>230</v>
      </c>
      <c r="K16">
        <v>382114</v>
      </c>
      <c r="L16" s="5">
        <v>688</v>
      </c>
      <c r="M16" s="5">
        <v>142</v>
      </c>
      <c r="N16" s="2">
        <v>282</v>
      </c>
      <c r="O16" s="2">
        <v>167455</v>
      </c>
      <c r="P16" s="2">
        <v>141789</v>
      </c>
      <c r="Q16" s="2">
        <v>139042</v>
      </c>
      <c r="R16" s="2" t="s">
        <v>82</v>
      </c>
    </row>
    <row r="17" spans="1:18" x14ac:dyDescent="0.3">
      <c r="A17" t="s">
        <v>15</v>
      </c>
      <c r="B17" s="3" t="s">
        <v>91</v>
      </c>
      <c r="C17" t="s">
        <v>73</v>
      </c>
      <c r="D17" s="2">
        <v>300049</v>
      </c>
      <c r="E17" s="2">
        <v>42907</v>
      </c>
      <c r="F17" s="2">
        <v>257142</v>
      </c>
      <c r="G17" s="2">
        <v>133201</v>
      </c>
      <c r="H17" s="2">
        <v>123941</v>
      </c>
      <c r="I17" s="5">
        <v>623</v>
      </c>
      <c r="J17" s="5">
        <v>222</v>
      </c>
      <c r="K17">
        <v>250156</v>
      </c>
      <c r="L17" s="5">
        <v>481</v>
      </c>
      <c r="M17" s="5">
        <v>137</v>
      </c>
      <c r="N17" s="2" t="s">
        <v>82</v>
      </c>
      <c r="O17" s="2">
        <v>107691</v>
      </c>
      <c r="P17" s="2">
        <v>184739</v>
      </c>
      <c r="Q17" s="2">
        <v>6908</v>
      </c>
      <c r="R17" s="2" t="s">
        <v>82</v>
      </c>
    </row>
    <row r="18" spans="1:18" x14ac:dyDescent="0.3">
      <c r="A18" t="s">
        <v>16</v>
      </c>
      <c r="B18" s="3" t="s">
        <v>91</v>
      </c>
      <c r="C18" t="s">
        <v>73</v>
      </c>
      <c r="D18" s="2">
        <v>192811</v>
      </c>
      <c r="E18" s="2">
        <v>26335</v>
      </c>
      <c r="F18" s="2">
        <v>166476</v>
      </c>
      <c r="G18" s="2">
        <v>92554</v>
      </c>
      <c r="H18" s="2">
        <v>73922</v>
      </c>
      <c r="I18" s="5">
        <v>779</v>
      </c>
      <c r="J18" s="5">
        <v>160</v>
      </c>
      <c r="K18">
        <v>170974</v>
      </c>
      <c r="L18" s="5">
        <v>697</v>
      </c>
      <c r="M18" s="5">
        <v>80</v>
      </c>
      <c r="N18" s="2">
        <v>130</v>
      </c>
      <c r="O18" s="2">
        <v>90801</v>
      </c>
      <c r="P18" s="2">
        <v>87620</v>
      </c>
      <c r="Q18" s="2">
        <v>14260</v>
      </c>
      <c r="R18" s="2" t="s">
        <v>82</v>
      </c>
    </row>
    <row r="19" spans="1:18" x14ac:dyDescent="0.3">
      <c r="A19" t="s">
        <v>17</v>
      </c>
      <c r="B19" s="3" t="s">
        <v>91</v>
      </c>
      <c r="C19" t="s">
        <v>74</v>
      </c>
      <c r="D19" s="2">
        <v>89028</v>
      </c>
      <c r="E19" s="2">
        <v>15624</v>
      </c>
      <c r="F19" s="2">
        <v>73404</v>
      </c>
      <c r="G19" s="2">
        <v>28226</v>
      </c>
      <c r="H19" s="2">
        <v>45178</v>
      </c>
      <c r="I19" s="5">
        <v>797</v>
      </c>
      <c r="J19" s="5">
        <v>288</v>
      </c>
      <c r="K19">
        <v>71435</v>
      </c>
      <c r="L19" s="5">
        <v>634</v>
      </c>
      <c r="M19" s="5">
        <v>168</v>
      </c>
      <c r="N19" s="2">
        <v>999</v>
      </c>
      <c r="O19" s="2">
        <v>35330</v>
      </c>
      <c r="P19" s="2">
        <v>46821</v>
      </c>
      <c r="Q19" s="2">
        <v>5878</v>
      </c>
      <c r="R19" s="2" t="s">
        <v>82</v>
      </c>
    </row>
    <row r="20" spans="1:18" x14ac:dyDescent="0.3">
      <c r="A20" t="s">
        <v>18</v>
      </c>
      <c r="B20" s="3" t="s">
        <v>91</v>
      </c>
      <c r="C20" t="s">
        <v>73</v>
      </c>
      <c r="D20" s="2">
        <v>296648</v>
      </c>
      <c r="E20" s="2">
        <v>31342</v>
      </c>
      <c r="F20" s="2">
        <v>265306</v>
      </c>
      <c r="G20" s="2">
        <v>103783</v>
      </c>
      <c r="H20" s="2">
        <v>161523</v>
      </c>
      <c r="I20" s="5">
        <v>759</v>
      </c>
      <c r="J20" s="5">
        <v>144</v>
      </c>
      <c r="K20">
        <v>270419</v>
      </c>
      <c r="L20" s="5">
        <v>674</v>
      </c>
      <c r="M20" s="5">
        <v>82</v>
      </c>
      <c r="N20" s="2" t="s">
        <v>82</v>
      </c>
      <c r="O20" s="2">
        <v>168905</v>
      </c>
      <c r="P20" s="2">
        <v>112263</v>
      </c>
      <c r="Q20" s="2">
        <v>15480</v>
      </c>
      <c r="R20" s="2" t="s">
        <v>82</v>
      </c>
    </row>
    <row r="21" spans="1:18" x14ac:dyDescent="0.3">
      <c r="A21" t="s">
        <v>70</v>
      </c>
      <c r="B21" s="3" t="s">
        <v>91</v>
      </c>
      <c r="C21" t="s">
        <v>74</v>
      </c>
      <c r="D21" s="2">
        <v>403624</v>
      </c>
      <c r="E21" s="2">
        <v>56744</v>
      </c>
      <c r="F21" s="2">
        <v>346880</v>
      </c>
      <c r="G21" s="2">
        <v>159341</v>
      </c>
      <c r="H21" s="2">
        <v>187539</v>
      </c>
      <c r="I21" s="5">
        <v>594</v>
      </c>
      <c r="J21" s="5">
        <v>325</v>
      </c>
      <c r="K21">
        <v>292196</v>
      </c>
      <c r="L21" s="5">
        <v>371</v>
      </c>
      <c r="M21" s="5">
        <v>219</v>
      </c>
      <c r="N21" s="2">
        <v>889</v>
      </c>
      <c r="O21" s="2">
        <v>34062</v>
      </c>
      <c r="P21" s="2">
        <v>358260</v>
      </c>
      <c r="Q21" s="2">
        <v>7385</v>
      </c>
      <c r="R21" s="2">
        <v>3028</v>
      </c>
    </row>
    <row r="22" spans="1:18" x14ac:dyDescent="0.3">
      <c r="A22" t="s">
        <v>20</v>
      </c>
      <c r="B22" s="3" t="s">
        <v>91</v>
      </c>
      <c r="C22" t="s">
        <v>74</v>
      </c>
      <c r="D22" s="2">
        <v>255612</v>
      </c>
      <c r="E22" s="2">
        <v>47815</v>
      </c>
      <c r="F22" s="2">
        <v>207797</v>
      </c>
      <c r="G22" s="2">
        <v>61434</v>
      </c>
      <c r="H22" s="2">
        <v>146363</v>
      </c>
      <c r="I22" s="5">
        <v>542</v>
      </c>
      <c r="J22" s="5">
        <v>284</v>
      </c>
      <c r="K22">
        <v>172309</v>
      </c>
      <c r="L22" s="5">
        <v>384</v>
      </c>
      <c r="M22" s="5">
        <v>181</v>
      </c>
      <c r="N22" s="2">
        <v>2564</v>
      </c>
      <c r="O22" s="2">
        <v>67563</v>
      </c>
      <c r="P22" s="2">
        <v>76594</v>
      </c>
      <c r="Q22" s="2">
        <v>106187</v>
      </c>
      <c r="R22" s="2">
        <v>2704</v>
      </c>
    </row>
    <row r="23" spans="1:18" x14ac:dyDescent="0.3">
      <c r="A23" t="s">
        <v>21</v>
      </c>
      <c r="B23" s="3" t="s">
        <v>91</v>
      </c>
      <c r="C23" t="s">
        <v>74</v>
      </c>
      <c r="D23" s="2">
        <v>58523</v>
      </c>
      <c r="E23" s="2">
        <v>8577</v>
      </c>
      <c r="F23" s="2">
        <v>49946</v>
      </c>
      <c r="G23" s="2">
        <v>26149</v>
      </c>
      <c r="H23" s="2">
        <v>23797</v>
      </c>
      <c r="I23" s="5">
        <v>913</v>
      </c>
      <c r="J23" s="5">
        <v>340</v>
      </c>
      <c r="K23">
        <v>43597</v>
      </c>
      <c r="L23" s="5">
        <v>769</v>
      </c>
      <c r="M23" s="5">
        <v>178</v>
      </c>
      <c r="N23" s="2">
        <v>550</v>
      </c>
      <c r="O23" s="2">
        <v>33814</v>
      </c>
      <c r="P23" s="2">
        <v>19513</v>
      </c>
      <c r="Q23" s="2">
        <v>4392</v>
      </c>
      <c r="R23" s="2">
        <v>254</v>
      </c>
    </row>
    <row r="24" spans="1:18" x14ac:dyDescent="0.3">
      <c r="A24" t="s">
        <v>22</v>
      </c>
      <c r="B24" s="3" t="s">
        <v>91</v>
      </c>
      <c r="C24" t="s">
        <v>73</v>
      </c>
      <c r="D24" s="2">
        <v>497064</v>
      </c>
      <c r="E24" s="2">
        <v>64637</v>
      </c>
      <c r="F24" s="2">
        <v>432427</v>
      </c>
      <c r="G24" s="2">
        <v>235220</v>
      </c>
      <c r="H24" s="2">
        <v>197207</v>
      </c>
      <c r="I24" s="5">
        <v>657</v>
      </c>
      <c r="J24" s="5">
        <v>222</v>
      </c>
      <c r="K24">
        <v>402911</v>
      </c>
      <c r="L24" s="5">
        <v>536</v>
      </c>
      <c r="M24" s="5">
        <v>127</v>
      </c>
      <c r="N24" s="2">
        <v>8045</v>
      </c>
      <c r="O24" s="2">
        <v>239037</v>
      </c>
      <c r="P24" s="2">
        <v>232730</v>
      </c>
      <c r="Q24" s="2">
        <v>17252</v>
      </c>
      <c r="R24" s="2" t="s">
        <v>82</v>
      </c>
    </row>
    <row r="25" spans="1:18" x14ac:dyDescent="0.3">
      <c r="A25" t="s">
        <v>23</v>
      </c>
      <c r="B25" s="3" t="s">
        <v>91</v>
      </c>
      <c r="C25" t="s">
        <v>74</v>
      </c>
      <c r="D25" s="2">
        <v>139251</v>
      </c>
      <c r="E25" s="2">
        <v>24417</v>
      </c>
      <c r="F25" s="2">
        <v>114834</v>
      </c>
      <c r="G25" s="2">
        <v>30875</v>
      </c>
      <c r="H25" s="2">
        <v>83959</v>
      </c>
      <c r="I25" s="5">
        <v>639</v>
      </c>
      <c r="J25" s="5">
        <v>437</v>
      </c>
      <c r="K25">
        <v>68982</v>
      </c>
      <c r="L25" s="5">
        <v>409</v>
      </c>
      <c r="M25" s="5">
        <v>284</v>
      </c>
      <c r="N25" s="2" t="s">
        <v>82</v>
      </c>
      <c r="O25" s="2">
        <v>77802</v>
      </c>
      <c r="P25" s="2">
        <v>40677</v>
      </c>
      <c r="Q25" s="2">
        <v>20772</v>
      </c>
      <c r="R25" s="2" t="s">
        <v>82</v>
      </c>
    </row>
    <row r="26" spans="1:18" x14ac:dyDescent="0.3">
      <c r="A26" t="s">
        <v>24</v>
      </c>
      <c r="B26" s="3" t="s">
        <v>91</v>
      </c>
      <c r="C26" t="s">
        <v>73</v>
      </c>
      <c r="D26" s="2">
        <v>365734</v>
      </c>
      <c r="E26" s="2">
        <v>46284</v>
      </c>
      <c r="F26" s="2">
        <v>319450</v>
      </c>
      <c r="G26" s="2">
        <v>166907</v>
      </c>
      <c r="H26" s="2">
        <v>152543</v>
      </c>
      <c r="I26" s="5">
        <v>724</v>
      </c>
      <c r="J26" s="5">
        <v>173</v>
      </c>
      <c r="K26">
        <v>316392</v>
      </c>
      <c r="L26" s="5">
        <v>638</v>
      </c>
      <c r="M26" s="5">
        <v>90</v>
      </c>
      <c r="N26" s="2">
        <v>791</v>
      </c>
      <c r="O26" s="2">
        <v>187274</v>
      </c>
      <c r="P26" s="2">
        <v>138361</v>
      </c>
      <c r="Q26" s="2">
        <v>39308</v>
      </c>
      <c r="R26" s="2" t="s">
        <v>82</v>
      </c>
    </row>
    <row r="27" spans="1:18" x14ac:dyDescent="0.3">
      <c r="A27" t="s">
        <v>25</v>
      </c>
      <c r="B27" s="3" t="s">
        <v>91</v>
      </c>
      <c r="C27" t="s">
        <v>73</v>
      </c>
      <c r="D27" s="2">
        <v>313392</v>
      </c>
      <c r="E27" s="2">
        <v>62394</v>
      </c>
      <c r="F27" s="2">
        <v>250998</v>
      </c>
      <c r="G27" s="2">
        <v>119770</v>
      </c>
      <c r="H27" s="2">
        <v>131228</v>
      </c>
      <c r="I27" s="5">
        <v>816</v>
      </c>
      <c r="J27" s="5">
        <v>131</v>
      </c>
      <c r="K27">
        <v>298865</v>
      </c>
      <c r="L27" s="5">
        <v>718</v>
      </c>
      <c r="M27" s="5">
        <v>94</v>
      </c>
      <c r="N27" s="2" t="s">
        <v>82</v>
      </c>
      <c r="O27" s="2">
        <v>113435</v>
      </c>
      <c r="P27" s="2">
        <v>198108</v>
      </c>
      <c r="Q27" s="2">
        <v>1849</v>
      </c>
      <c r="R27" s="2" t="s">
        <v>82</v>
      </c>
    </row>
    <row r="28" spans="1:18" x14ac:dyDescent="0.3">
      <c r="A28" t="s">
        <v>26</v>
      </c>
      <c r="B28" s="3" t="s">
        <v>91</v>
      </c>
      <c r="C28" t="s">
        <v>73</v>
      </c>
      <c r="D28" s="2">
        <v>73255</v>
      </c>
      <c r="E28" s="2">
        <v>10443</v>
      </c>
      <c r="F28" s="2">
        <v>62812</v>
      </c>
      <c r="G28" s="2">
        <v>39032</v>
      </c>
      <c r="H28" s="2">
        <v>23780</v>
      </c>
      <c r="I28" s="5">
        <v>729</v>
      </c>
      <c r="J28" s="5">
        <v>230</v>
      </c>
      <c r="K28">
        <v>56892</v>
      </c>
      <c r="L28" s="5">
        <v>643</v>
      </c>
      <c r="M28" s="5">
        <v>107</v>
      </c>
      <c r="N28" s="2">
        <v>3238</v>
      </c>
      <c r="O28" s="2">
        <v>47311</v>
      </c>
      <c r="P28" s="2">
        <v>17554</v>
      </c>
      <c r="Q28" s="2">
        <v>5152</v>
      </c>
      <c r="R28" s="2" t="s">
        <v>82</v>
      </c>
    </row>
    <row r="29" spans="1:18" x14ac:dyDescent="0.3">
      <c r="A29" t="s">
        <v>27</v>
      </c>
      <c r="B29" s="3" t="s">
        <v>91</v>
      </c>
      <c r="C29" t="s">
        <v>73</v>
      </c>
      <c r="D29" s="2">
        <v>761457</v>
      </c>
      <c r="E29" s="2">
        <v>125794</v>
      </c>
      <c r="F29" s="2">
        <v>635663</v>
      </c>
      <c r="G29" s="2">
        <v>384487</v>
      </c>
      <c r="H29" s="2">
        <v>251176</v>
      </c>
      <c r="I29" s="5">
        <v>755</v>
      </c>
      <c r="J29" s="5">
        <v>180</v>
      </c>
      <c r="K29">
        <v>662864</v>
      </c>
      <c r="L29" s="5">
        <v>660</v>
      </c>
      <c r="M29" s="5">
        <v>97</v>
      </c>
      <c r="N29" s="2" t="s">
        <v>82</v>
      </c>
      <c r="O29" s="2">
        <v>486199</v>
      </c>
      <c r="P29" s="2">
        <v>232430</v>
      </c>
      <c r="Q29" s="2">
        <v>42828</v>
      </c>
      <c r="R29" s="2" t="s">
        <v>82</v>
      </c>
    </row>
    <row r="30" spans="1:18" x14ac:dyDescent="0.3">
      <c r="A30" t="s">
        <v>28</v>
      </c>
      <c r="B30" s="3" t="s">
        <v>91</v>
      </c>
      <c r="C30" t="s">
        <v>73</v>
      </c>
      <c r="D30" s="2">
        <v>41014</v>
      </c>
      <c r="E30" s="2">
        <v>5230</v>
      </c>
      <c r="F30" s="2">
        <v>35784</v>
      </c>
      <c r="G30" s="2">
        <v>25848</v>
      </c>
      <c r="H30" s="2">
        <v>9936</v>
      </c>
      <c r="I30" s="5">
        <v>591</v>
      </c>
      <c r="J30" s="5">
        <v>229</v>
      </c>
      <c r="K30">
        <v>32183</v>
      </c>
      <c r="L30" s="5">
        <v>462</v>
      </c>
      <c r="M30" s="5">
        <v>126</v>
      </c>
      <c r="N30" s="2">
        <v>791</v>
      </c>
      <c r="O30" s="2">
        <v>21451</v>
      </c>
      <c r="P30" s="2">
        <v>8516</v>
      </c>
      <c r="Q30" s="2">
        <v>10256</v>
      </c>
      <c r="R30" s="2" t="s">
        <v>82</v>
      </c>
    </row>
    <row r="31" spans="1:18" x14ac:dyDescent="0.3">
      <c r="A31" t="s">
        <v>29</v>
      </c>
      <c r="B31" s="3" t="s">
        <v>91</v>
      </c>
      <c r="C31" t="s">
        <v>73</v>
      </c>
      <c r="D31" s="2">
        <v>128492</v>
      </c>
      <c r="E31" s="2">
        <v>14833</v>
      </c>
      <c r="F31" s="2">
        <v>113659</v>
      </c>
      <c r="G31" s="2">
        <v>77150</v>
      </c>
      <c r="H31" s="2">
        <v>36509</v>
      </c>
      <c r="I31" s="5">
        <v>800</v>
      </c>
      <c r="J31" s="5">
        <v>217</v>
      </c>
      <c r="K31">
        <v>111189</v>
      </c>
      <c r="L31" s="5">
        <v>674</v>
      </c>
      <c r="M31" s="5">
        <v>120</v>
      </c>
      <c r="N31" s="2" t="s">
        <v>82</v>
      </c>
      <c r="O31" s="2">
        <v>84672</v>
      </c>
      <c r="P31" s="2">
        <v>35102</v>
      </c>
      <c r="Q31" s="2">
        <v>8718</v>
      </c>
      <c r="R31" s="2" t="s">
        <v>82</v>
      </c>
    </row>
    <row r="32" spans="1:18" x14ac:dyDescent="0.3">
      <c r="A32" t="s">
        <v>30</v>
      </c>
      <c r="B32" s="3" t="s">
        <v>91</v>
      </c>
      <c r="C32" t="s">
        <v>73</v>
      </c>
      <c r="D32" s="2">
        <v>66024</v>
      </c>
      <c r="E32" s="2">
        <v>11751</v>
      </c>
      <c r="F32" s="2">
        <v>54273</v>
      </c>
      <c r="G32" s="2">
        <v>34260</v>
      </c>
      <c r="H32" s="2">
        <v>20013</v>
      </c>
      <c r="I32" s="5">
        <v>553</v>
      </c>
      <c r="J32" s="5">
        <v>342</v>
      </c>
      <c r="K32">
        <v>36748</v>
      </c>
      <c r="L32" s="5">
        <v>378</v>
      </c>
      <c r="M32" s="5">
        <v>200</v>
      </c>
      <c r="N32" s="2">
        <v>1343</v>
      </c>
      <c r="O32" s="2">
        <v>30105</v>
      </c>
      <c r="P32" s="2">
        <v>24549</v>
      </c>
      <c r="Q32" s="2">
        <v>10027</v>
      </c>
      <c r="R32" s="2" t="s">
        <v>82</v>
      </c>
    </row>
    <row r="33" spans="1:18" x14ac:dyDescent="0.3">
      <c r="A33" t="s">
        <v>31</v>
      </c>
      <c r="B33" s="3" t="s">
        <v>91</v>
      </c>
      <c r="C33" t="s">
        <v>74</v>
      </c>
      <c r="D33" s="2">
        <v>509192</v>
      </c>
      <c r="E33" s="2">
        <v>77970</v>
      </c>
      <c r="F33" s="2">
        <v>431222</v>
      </c>
      <c r="G33" s="2">
        <v>219933</v>
      </c>
      <c r="H33" s="2">
        <v>211289</v>
      </c>
      <c r="I33" s="5">
        <v>734</v>
      </c>
      <c r="J33" s="5">
        <v>277</v>
      </c>
      <c r="K33">
        <v>418531</v>
      </c>
      <c r="L33" s="5">
        <v>556</v>
      </c>
      <c r="M33" s="5">
        <v>185</v>
      </c>
      <c r="N33" s="2">
        <v>1719</v>
      </c>
      <c r="O33" s="2">
        <v>124678</v>
      </c>
      <c r="P33" s="2">
        <v>377437</v>
      </c>
      <c r="Q33" s="2">
        <v>5358</v>
      </c>
      <c r="R33" s="2" t="s">
        <v>82</v>
      </c>
    </row>
    <row r="34" spans="1:18" x14ac:dyDescent="0.3">
      <c r="A34" t="s">
        <v>32</v>
      </c>
      <c r="B34" s="3" t="s">
        <v>91</v>
      </c>
      <c r="C34" t="s">
        <v>74</v>
      </c>
      <c r="D34" s="2">
        <v>83103</v>
      </c>
      <c r="E34" s="2">
        <v>12863</v>
      </c>
      <c r="F34" s="2">
        <v>70240</v>
      </c>
      <c r="G34" s="2">
        <v>20159</v>
      </c>
      <c r="H34" s="2">
        <v>50081</v>
      </c>
      <c r="I34" s="5">
        <v>842</v>
      </c>
      <c r="J34" s="5">
        <v>299</v>
      </c>
      <c r="K34">
        <v>68362</v>
      </c>
      <c r="L34" s="5">
        <v>659</v>
      </c>
      <c r="M34" s="5">
        <v>196</v>
      </c>
      <c r="N34" s="2" t="s">
        <v>82</v>
      </c>
      <c r="O34" s="2">
        <v>2596</v>
      </c>
      <c r="P34" s="2">
        <v>30201</v>
      </c>
      <c r="Q34" s="2">
        <v>50306</v>
      </c>
      <c r="R34" s="2" t="s">
        <v>82</v>
      </c>
    </row>
    <row r="35" spans="1:18" x14ac:dyDescent="0.3">
      <c r="A35" t="s">
        <v>33</v>
      </c>
      <c r="B35" s="3" t="s">
        <v>91</v>
      </c>
      <c r="C35" t="s">
        <v>74</v>
      </c>
      <c r="D35" s="2">
        <v>104286</v>
      </c>
      <c r="E35" s="2">
        <v>20911</v>
      </c>
      <c r="F35" s="2">
        <v>83375</v>
      </c>
      <c r="G35" s="2">
        <v>42654</v>
      </c>
      <c r="H35" s="2">
        <v>40721</v>
      </c>
      <c r="I35" s="5">
        <v>659</v>
      </c>
      <c r="J35" s="5">
        <v>234</v>
      </c>
      <c r="K35">
        <v>85980</v>
      </c>
      <c r="L35" s="5">
        <v>516</v>
      </c>
      <c r="M35" s="5">
        <v>148</v>
      </c>
      <c r="N35" s="2">
        <v>291</v>
      </c>
      <c r="O35" s="2">
        <v>44202</v>
      </c>
      <c r="P35" s="2">
        <v>55880</v>
      </c>
      <c r="Q35" s="2">
        <v>3913</v>
      </c>
      <c r="R35" s="2" t="s">
        <v>82</v>
      </c>
    </row>
    <row r="36" spans="1:18" x14ac:dyDescent="0.3">
      <c r="A36" t="s">
        <v>34</v>
      </c>
      <c r="B36" s="3" t="s">
        <v>91</v>
      </c>
      <c r="C36" t="s">
        <v>74</v>
      </c>
      <c r="D36" s="2">
        <v>210704</v>
      </c>
      <c r="E36" s="2">
        <v>31868</v>
      </c>
      <c r="F36" s="2">
        <v>178836</v>
      </c>
      <c r="G36" s="2">
        <v>71295</v>
      </c>
      <c r="H36" s="2">
        <v>107541</v>
      </c>
      <c r="I36" s="5">
        <v>812</v>
      </c>
      <c r="J36" s="5">
        <v>636</v>
      </c>
      <c r="K36">
        <v>89718</v>
      </c>
      <c r="L36" s="5">
        <v>422</v>
      </c>
      <c r="M36" s="5">
        <v>376</v>
      </c>
      <c r="N36" s="2">
        <v>4036</v>
      </c>
      <c r="O36" s="2">
        <v>104370</v>
      </c>
      <c r="P36" s="2">
        <v>75396</v>
      </c>
      <c r="Q36" s="2">
        <v>15723</v>
      </c>
      <c r="R36" s="2">
        <v>11179</v>
      </c>
    </row>
    <row r="37" spans="1:18" x14ac:dyDescent="0.3">
      <c r="A37" t="s">
        <v>35</v>
      </c>
      <c r="B37" s="3" t="s">
        <v>91</v>
      </c>
      <c r="C37" t="s">
        <v>73</v>
      </c>
      <c r="D37" s="2">
        <v>469616</v>
      </c>
      <c r="E37" s="2">
        <v>73309</v>
      </c>
      <c r="F37" s="2">
        <v>396307</v>
      </c>
      <c r="G37" s="2">
        <v>208141</v>
      </c>
      <c r="H37" s="2">
        <v>188166</v>
      </c>
      <c r="I37" s="5">
        <v>665</v>
      </c>
      <c r="J37" s="5">
        <v>233</v>
      </c>
      <c r="K37">
        <v>387729</v>
      </c>
      <c r="L37" s="5">
        <v>523</v>
      </c>
      <c r="M37" s="5">
        <v>131</v>
      </c>
      <c r="N37" s="2" t="s">
        <v>82</v>
      </c>
      <c r="O37" s="2">
        <v>282120</v>
      </c>
      <c r="P37" s="2">
        <v>168124</v>
      </c>
      <c r="Q37" s="2">
        <v>19372</v>
      </c>
      <c r="R37" s="2" t="s">
        <v>82</v>
      </c>
    </row>
    <row r="38" spans="1:18" x14ac:dyDescent="0.3">
      <c r="A38" t="s">
        <v>36</v>
      </c>
      <c r="B38" s="3" t="s">
        <v>91</v>
      </c>
      <c r="C38" t="s">
        <v>73</v>
      </c>
      <c r="D38" s="2">
        <v>261887</v>
      </c>
      <c r="E38" s="2">
        <v>33769</v>
      </c>
      <c r="F38" s="2">
        <v>228118</v>
      </c>
      <c r="G38" s="2">
        <v>119580</v>
      </c>
      <c r="H38" s="2">
        <v>108538</v>
      </c>
      <c r="I38" s="5">
        <v>727</v>
      </c>
      <c r="J38" s="5">
        <v>161</v>
      </c>
      <c r="K38">
        <v>237649</v>
      </c>
      <c r="L38" s="5">
        <v>624</v>
      </c>
      <c r="M38" s="5">
        <v>98</v>
      </c>
      <c r="N38" s="2">
        <v>1127</v>
      </c>
      <c r="O38" s="2">
        <v>152229</v>
      </c>
      <c r="P38" s="2">
        <v>88181</v>
      </c>
      <c r="Q38" s="2">
        <v>20350</v>
      </c>
      <c r="R38" s="2" t="s">
        <v>82</v>
      </c>
    </row>
    <row r="39" spans="1:18" x14ac:dyDescent="0.3">
      <c r="A39" t="s">
        <v>37</v>
      </c>
      <c r="B39" s="3" t="s">
        <v>91</v>
      </c>
      <c r="C39" t="s">
        <v>73</v>
      </c>
      <c r="D39" s="2">
        <v>118372</v>
      </c>
      <c r="E39" s="2">
        <v>16801</v>
      </c>
      <c r="F39" s="2">
        <v>101571</v>
      </c>
      <c r="G39" s="2">
        <v>70004</v>
      </c>
      <c r="H39" s="2">
        <v>31567</v>
      </c>
      <c r="I39" s="5">
        <v>741</v>
      </c>
      <c r="J39" s="5">
        <v>426</v>
      </c>
      <c r="K39">
        <v>71031</v>
      </c>
      <c r="L39" s="5">
        <v>525</v>
      </c>
      <c r="M39" s="5">
        <v>253</v>
      </c>
      <c r="N39" s="2" t="s">
        <v>82</v>
      </c>
      <c r="O39" s="2">
        <v>65978</v>
      </c>
      <c r="P39" s="2">
        <v>36311</v>
      </c>
      <c r="Q39" s="2">
        <v>16083</v>
      </c>
      <c r="R39" s="2" t="s">
        <v>82</v>
      </c>
    </row>
    <row r="40" spans="1:18" x14ac:dyDescent="0.3">
      <c r="A40" t="s">
        <v>38</v>
      </c>
      <c r="B40" s="3" t="s">
        <v>91</v>
      </c>
      <c r="C40" t="s">
        <v>74</v>
      </c>
      <c r="D40" s="2">
        <v>501459</v>
      </c>
      <c r="E40" s="2">
        <v>81373</v>
      </c>
      <c r="F40" s="2">
        <v>420086</v>
      </c>
      <c r="G40" s="2">
        <v>143158</v>
      </c>
      <c r="H40" s="2">
        <v>276928</v>
      </c>
      <c r="I40" s="5">
        <v>742</v>
      </c>
      <c r="J40" s="5">
        <v>251</v>
      </c>
      <c r="K40">
        <v>400008</v>
      </c>
      <c r="L40" s="5">
        <v>616</v>
      </c>
      <c r="M40" s="5">
        <v>145</v>
      </c>
      <c r="N40" s="2">
        <v>497</v>
      </c>
      <c r="O40" s="2">
        <v>151590</v>
      </c>
      <c r="P40" s="2">
        <v>131343</v>
      </c>
      <c r="Q40" s="2">
        <v>216977</v>
      </c>
      <c r="R40" s="2">
        <v>1052</v>
      </c>
    </row>
    <row r="41" spans="1:18" x14ac:dyDescent="0.3">
      <c r="A41" t="s">
        <v>71</v>
      </c>
      <c r="B41" s="3" t="s">
        <v>91</v>
      </c>
      <c r="C41" t="s">
        <v>74</v>
      </c>
      <c r="D41" s="2">
        <v>43446</v>
      </c>
      <c r="E41" s="2">
        <v>9818</v>
      </c>
      <c r="F41" s="2">
        <v>33628</v>
      </c>
      <c r="G41" s="2">
        <v>8208</v>
      </c>
      <c r="H41" s="2">
        <v>25420</v>
      </c>
      <c r="I41" s="5">
        <v>649</v>
      </c>
      <c r="J41" s="5">
        <v>246</v>
      </c>
      <c r="K41">
        <v>35699</v>
      </c>
      <c r="L41" s="5">
        <v>491</v>
      </c>
      <c r="M41" s="5">
        <v>166</v>
      </c>
      <c r="N41" s="2" t="s">
        <v>82</v>
      </c>
      <c r="O41" s="2">
        <v>13386</v>
      </c>
      <c r="P41" s="2">
        <v>15232</v>
      </c>
      <c r="Q41" s="2">
        <v>14078</v>
      </c>
      <c r="R41" s="2">
        <v>750</v>
      </c>
    </row>
    <row r="42" spans="1:18" x14ac:dyDescent="0.3">
      <c r="A42" t="s">
        <v>40</v>
      </c>
      <c r="B42" s="3" t="s">
        <v>91</v>
      </c>
      <c r="C42" t="s">
        <v>73</v>
      </c>
      <c r="D42" s="2">
        <v>587567</v>
      </c>
      <c r="E42" s="2">
        <v>84654</v>
      </c>
      <c r="F42" s="2">
        <v>502913</v>
      </c>
      <c r="G42" s="2">
        <v>266081</v>
      </c>
      <c r="H42" s="2">
        <v>236832</v>
      </c>
      <c r="I42" s="5">
        <v>655</v>
      </c>
      <c r="J42" s="5">
        <v>139</v>
      </c>
      <c r="K42">
        <v>524034</v>
      </c>
      <c r="L42" s="5">
        <v>579</v>
      </c>
      <c r="M42" s="5">
        <v>76</v>
      </c>
      <c r="N42" s="2" t="s">
        <v>82</v>
      </c>
      <c r="O42" s="2">
        <v>377450</v>
      </c>
      <c r="P42" s="2">
        <v>193860</v>
      </c>
      <c r="Q42" s="2">
        <v>16257</v>
      </c>
      <c r="R42" s="2" t="s">
        <v>82</v>
      </c>
    </row>
    <row r="43" spans="1:18" x14ac:dyDescent="0.3">
      <c r="A43" t="s">
        <v>41</v>
      </c>
      <c r="B43" s="3" t="s">
        <v>91</v>
      </c>
      <c r="C43" t="s">
        <v>73</v>
      </c>
      <c r="D43" s="2">
        <v>50951</v>
      </c>
      <c r="E43" s="2">
        <v>6685</v>
      </c>
      <c r="F43" s="2">
        <v>44266</v>
      </c>
      <c r="G43" s="2">
        <v>32986</v>
      </c>
      <c r="H43" s="2">
        <v>11280</v>
      </c>
      <c r="I43" s="5">
        <v>684</v>
      </c>
      <c r="J43" s="5">
        <v>211</v>
      </c>
      <c r="K43">
        <v>42465</v>
      </c>
      <c r="L43" s="5">
        <v>568</v>
      </c>
      <c r="M43" s="5">
        <v>118</v>
      </c>
      <c r="N43" s="2">
        <v>1672</v>
      </c>
      <c r="O43" s="2">
        <v>30223</v>
      </c>
      <c r="P43" s="2">
        <v>14017</v>
      </c>
      <c r="Q43" s="2">
        <v>5039</v>
      </c>
      <c r="R43" s="2" t="s">
        <v>82</v>
      </c>
    </row>
    <row r="44" spans="1:18" x14ac:dyDescent="0.3">
      <c r="A44" t="s">
        <v>42</v>
      </c>
      <c r="B44" s="3" t="s">
        <v>91</v>
      </c>
      <c r="C44" t="s">
        <v>73</v>
      </c>
      <c r="D44" s="2">
        <v>569310</v>
      </c>
      <c r="E44" s="2">
        <v>92921</v>
      </c>
      <c r="F44" s="2">
        <v>476389</v>
      </c>
      <c r="G44" s="2">
        <v>259380</v>
      </c>
      <c r="H44" s="2">
        <v>217009</v>
      </c>
      <c r="I44" s="5">
        <v>838</v>
      </c>
      <c r="J44" s="5">
        <v>141</v>
      </c>
      <c r="K44">
        <v>514288</v>
      </c>
      <c r="L44" s="5">
        <v>772</v>
      </c>
      <c r="M44" s="5">
        <v>67</v>
      </c>
      <c r="N44" s="2" t="s">
        <v>82</v>
      </c>
      <c r="O44" s="2">
        <v>319290</v>
      </c>
      <c r="P44" s="2">
        <v>213810</v>
      </c>
      <c r="Q44" s="2">
        <v>36113</v>
      </c>
      <c r="R44" s="2">
        <v>97</v>
      </c>
    </row>
    <row r="45" spans="1:18" x14ac:dyDescent="0.3">
      <c r="A45" t="s">
        <v>43</v>
      </c>
      <c r="B45" s="3" t="s">
        <v>91</v>
      </c>
      <c r="C45" t="s">
        <v>73</v>
      </c>
      <c r="D45" s="2">
        <v>4172233</v>
      </c>
      <c r="E45" s="2">
        <v>764316</v>
      </c>
      <c r="F45" s="2">
        <v>3407917</v>
      </c>
      <c r="G45" s="2">
        <v>2072012</v>
      </c>
      <c r="H45" s="2">
        <v>1335905</v>
      </c>
      <c r="I45" s="5">
        <v>709</v>
      </c>
      <c r="J45" s="5">
        <v>89</v>
      </c>
      <c r="K45">
        <v>3877775</v>
      </c>
      <c r="L45" s="5">
        <v>667</v>
      </c>
      <c r="M45" s="5">
        <v>41</v>
      </c>
      <c r="N45" s="2">
        <v>2669</v>
      </c>
      <c r="O45" s="2">
        <v>1299290</v>
      </c>
      <c r="P45" s="2">
        <v>1147273</v>
      </c>
      <c r="Q45" s="2">
        <v>1723001</v>
      </c>
      <c r="R45" s="2" t="s">
        <v>82</v>
      </c>
    </row>
    <row r="46" spans="1:18" x14ac:dyDescent="0.3">
      <c r="A46" t="s">
        <v>44</v>
      </c>
      <c r="B46" s="3" t="s">
        <v>91</v>
      </c>
      <c r="C46" t="s">
        <v>73</v>
      </c>
      <c r="D46" s="2">
        <v>387336</v>
      </c>
      <c r="E46" s="2">
        <v>46063</v>
      </c>
      <c r="F46" s="2">
        <v>341273</v>
      </c>
      <c r="G46" s="2">
        <v>255681</v>
      </c>
      <c r="H46" s="2">
        <v>85592</v>
      </c>
      <c r="I46" s="5">
        <v>571</v>
      </c>
      <c r="J46" s="5">
        <v>120</v>
      </c>
      <c r="K46">
        <v>350154</v>
      </c>
      <c r="L46" s="5">
        <v>499</v>
      </c>
      <c r="M46" s="5">
        <v>68</v>
      </c>
      <c r="N46" s="2" t="s">
        <v>82</v>
      </c>
      <c r="O46" s="2">
        <v>200835</v>
      </c>
      <c r="P46" s="2">
        <v>176878</v>
      </c>
      <c r="Q46" s="2">
        <v>9194</v>
      </c>
      <c r="R46" s="2">
        <v>429</v>
      </c>
    </row>
    <row r="47" spans="1:18" x14ac:dyDescent="0.3">
      <c r="A47" t="s">
        <v>45</v>
      </c>
      <c r="B47" s="3" t="s">
        <v>91</v>
      </c>
      <c r="C47" t="s">
        <v>74</v>
      </c>
      <c r="D47" s="2">
        <v>370086</v>
      </c>
      <c r="E47" s="2">
        <v>58469</v>
      </c>
      <c r="F47" s="2">
        <v>311617</v>
      </c>
      <c r="G47" s="2">
        <v>90220</v>
      </c>
      <c r="H47" s="2">
        <v>221397</v>
      </c>
      <c r="I47" s="5">
        <v>575</v>
      </c>
      <c r="J47" s="5">
        <v>215</v>
      </c>
      <c r="K47">
        <v>288477</v>
      </c>
      <c r="L47" s="5">
        <v>461</v>
      </c>
      <c r="M47" s="5">
        <v>124</v>
      </c>
      <c r="N47" s="2">
        <v>3195</v>
      </c>
      <c r="O47" s="2">
        <v>156700</v>
      </c>
      <c r="P47" s="2">
        <v>115308</v>
      </c>
      <c r="Q47" s="2">
        <v>93512</v>
      </c>
      <c r="R47" s="2">
        <v>1371</v>
      </c>
    </row>
    <row r="48" spans="1:18" x14ac:dyDescent="0.3">
      <c r="A48" t="s">
        <v>46</v>
      </c>
      <c r="B48" s="3" t="s">
        <v>91</v>
      </c>
      <c r="C48" t="s">
        <v>74</v>
      </c>
      <c r="D48" s="2">
        <v>30344</v>
      </c>
      <c r="E48" s="2">
        <v>2492</v>
      </c>
      <c r="F48" s="2">
        <v>27852</v>
      </c>
      <c r="G48" s="2">
        <v>5725</v>
      </c>
      <c r="H48" s="2">
        <v>22127</v>
      </c>
      <c r="I48" s="5">
        <v>1090</v>
      </c>
      <c r="J48" s="5">
        <v>364</v>
      </c>
      <c r="K48">
        <v>23336</v>
      </c>
      <c r="L48" s="5">
        <v>947</v>
      </c>
      <c r="M48" s="5">
        <v>183</v>
      </c>
      <c r="N48" s="2">
        <v>188</v>
      </c>
      <c r="O48" s="2">
        <v>10615</v>
      </c>
      <c r="P48" s="2">
        <v>3470</v>
      </c>
      <c r="Q48" s="2">
        <v>14632</v>
      </c>
      <c r="R48" s="2">
        <v>1439</v>
      </c>
    </row>
    <row r="49" spans="1:18" x14ac:dyDescent="0.3">
      <c r="A49" t="s">
        <v>72</v>
      </c>
      <c r="B49" s="3" t="s">
        <v>91</v>
      </c>
      <c r="C49" t="s">
        <v>74</v>
      </c>
      <c r="D49" s="2">
        <v>290109</v>
      </c>
      <c r="E49" s="2">
        <v>51635</v>
      </c>
      <c r="F49" s="2">
        <v>238474</v>
      </c>
      <c r="G49" s="2">
        <v>77734</v>
      </c>
      <c r="H49" s="2">
        <v>160740</v>
      </c>
      <c r="I49" s="5">
        <v>738</v>
      </c>
      <c r="J49" s="5">
        <v>343</v>
      </c>
      <c r="K49">
        <v>187093</v>
      </c>
      <c r="L49" s="5">
        <v>612</v>
      </c>
      <c r="M49" s="5">
        <v>146</v>
      </c>
      <c r="N49" s="2">
        <v>753</v>
      </c>
      <c r="O49" s="2">
        <v>86954</v>
      </c>
      <c r="P49" s="2">
        <v>49999</v>
      </c>
      <c r="Q49" s="2">
        <v>152403</v>
      </c>
      <c r="R49" s="2" t="s">
        <v>82</v>
      </c>
    </row>
    <row r="50" spans="1:18" x14ac:dyDescent="0.3">
      <c r="A50" t="s">
        <v>48</v>
      </c>
      <c r="B50" s="3" t="s">
        <v>91</v>
      </c>
      <c r="C50" t="s">
        <v>73</v>
      </c>
      <c r="D50" s="2">
        <v>291336</v>
      </c>
      <c r="E50" s="2">
        <v>39582</v>
      </c>
      <c r="F50" s="2">
        <v>251754</v>
      </c>
      <c r="G50" s="2">
        <v>172086</v>
      </c>
      <c r="H50" s="2">
        <v>79668</v>
      </c>
      <c r="I50" s="5">
        <v>784</v>
      </c>
      <c r="J50" s="5">
        <v>250</v>
      </c>
      <c r="K50">
        <v>228117</v>
      </c>
      <c r="L50" s="5">
        <v>681</v>
      </c>
      <c r="M50" s="5">
        <v>123</v>
      </c>
      <c r="N50" s="2">
        <v>1238</v>
      </c>
      <c r="O50" s="2">
        <v>172872</v>
      </c>
      <c r="P50" s="2">
        <v>96777</v>
      </c>
      <c r="Q50" s="2">
        <v>19614</v>
      </c>
      <c r="R50" s="2">
        <v>835</v>
      </c>
    </row>
    <row r="51" spans="1:18" x14ac:dyDescent="0.3">
      <c r="A51" t="s">
        <v>49</v>
      </c>
      <c r="B51" s="3" t="s">
        <v>91</v>
      </c>
      <c r="C51" t="s">
        <v>73</v>
      </c>
      <c r="D51" s="2">
        <v>55879</v>
      </c>
      <c r="E51" s="2">
        <v>6922</v>
      </c>
      <c r="F51" s="2">
        <v>48957</v>
      </c>
      <c r="G51" s="2">
        <v>22478</v>
      </c>
      <c r="H51" s="2">
        <v>26479</v>
      </c>
      <c r="I51" s="5">
        <v>1314</v>
      </c>
      <c r="J51" s="5">
        <v>208</v>
      </c>
      <c r="K51">
        <v>49659</v>
      </c>
      <c r="L51" s="5">
        <v>1244</v>
      </c>
      <c r="M51" s="5">
        <v>80</v>
      </c>
      <c r="N51" s="2" t="s">
        <v>82</v>
      </c>
      <c r="O51" s="2">
        <v>21474</v>
      </c>
      <c r="P51" s="2">
        <v>15875</v>
      </c>
      <c r="Q51" s="2">
        <v>17784</v>
      </c>
      <c r="R51" s="2" t="s">
        <v>82</v>
      </c>
    </row>
    <row r="52" spans="1:18" x14ac:dyDescent="0.3">
      <c r="A52" t="s">
        <v>50</v>
      </c>
      <c r="B52" s="3" t="s">
        <v>91</v>
      </c>
      <c r="C52" t="s">
        <v>73</v>
      </c>
      <c r="D52" s="2">
        <v>41545</v>
      </c>
      <c r="E52" s="2">
        <v>5503</v>
      </c>
      <c r="F52" s="2">
        <v>36042</v>
      </c>
      <c r="G52" s="2">
        <v>24360</v>
      </c>
      <c r="H52" s="2">
        <v>11682</v>
      </c>
      <c r="I52" s="5">
        <v>1217</v>
      </c>
      <c r="J52" s="5">
        <v>235</v>
      </c>
      <c r="K52">
        <v>36186</v>
      </c>
      <c r="L52" s="5">
        <v>1127</v>
      </c>
      <c r="M52" s="5">
        <v>88</v>
      </c>
      <c r="N52" s="2" t="s">
        <v>82</v>
      </c>
      <c r="O52" s="2">
        <v>14824</v>
      </c>
      <c r="P52" s="2">
        <v>9230</v>
      </c>
      <c r="Q52" s="2">
        <v>17491</v>
      </c>
      <c r="R52" s="2" t="s">
        <v>82</v>
      </c>
    </row>
    <row r="53" spans="1:18" x14ac:dyDescent="0.3">
      <c r="A53" t="s">
        <v>63</v>
      </c>
      <c r="B53" s="3" t="s">
        <v>91</v>
      </c>
      <c r="C53" t="s">
        <v>82</v>
      </c>
      <c r="D53" s="2">
        <f>SUM(D2:D52)</f>
        <v>23130860</v>
      </c>
      <c r="E53" s="2">
        <f t="shared" ref="E53:H53" si="0">SUM(E2:E52)</f>
        <v>3603771</v>
      </c>
      <c r="F53" s="2">
        <f t="shared" si="0"/>
        <v>19527089</v>
      </c>
      <c r="G53" s="2">
        <f t="shared" si="0"/>
        <v>10714902</v>
      </c>
      <c r="H53" s="2">
        <f t="shared" si="0"/>
        <v>8812187</v>
      </c>
      <c r="I53" s="5">
        <v>741</v>
      </c>
      <c r="J53" s="5">
        <v>178</v>
      </c>
      <c r="K53" s="2">
        <f>SUM(K2:K52)</f>
        <v>20035756</v>
      </c>
      <c r="L53" s="5">
        <v>650</v>
      </c>
      <c r="M53" s="5">
        <v>96</v>
      </c>
      <c r="N53" s="2">
        <v>67489</v>
      </c>
      <c r="O53" s="2">
        <v>9151919</v>
      </c>
      <c r="P53" s="2">
        <v>9847273</v>
      </c>
      <c r="Q53" s="2">
        <v>3968289</v>
      </c>
      <c r="R53" s="2">
        <v>95890</v>
      </c>
    </row>
    <row r="54" spans="1:18" x14ac:dyDescent="0.3">
      <c r="A54" t="s">
        <v>0</v>
      </c>
      <c r="B54" s="3">
        <v>46023</v>
      </c>
      <c r="C54" t="s">
        <v>73</v>
      </c>
      <c r="D54" s="2"/>
      <c r="E54" s="2"/>
      <c r="F54" s="2"/>
      <c r="G54" s="2"/>
      <c r="H54" s="2"/>
      <c r="I54" s="5"/>
      <c r="J54" s="5"/>
      <c r="K54" s="2"/>
      <c r="L54" s="5"/>
      <c r="M54" s="5"/>
      <c r="N54" s="2"/>
      <c r="O54" s="2"/>
      <c r="P54" s="2"/>
      <c r="Q54" s="2"/>
      <c r="R54" s="2"/>
    </row>
    <row r="55" spans="1:18" x14ac:dyDescent="0.3">
      <c r="A55" t="s">
        <v>1</v>
      </c>
      <c r="B55" s="3">
        <v>46023</v>
      </c>
      <c r="C55" t="s">
        <v>73</v>
      </c>
      <c r="D55" s="2"/>
      <c r="E55" s="2"/>
      <c r="F55" s="2"/>
      <c r="G55" s="2"/>
      <c r="H55" s="2"/>
      <c r="I55" s="5"/>
      <c r="J55" s="5"/>
      <c r="K55" s="2"/>
      <c r="L55" s="5"/>
      <c r="M55" s="5"/>
      <c r="N55" s="2"/>
      <c r="O55" s="2"/>
      <c r="P55" s="2"/>
      <c r="Q55" s="2"/>
      <c r="R55" s="2"/>
    </row>
    <row r="56" spans="1:18" x14ac:dyDescent="0.3">
      <c r="A56" t="s">
        <v>2</v>
      </c>
      <c r="B56" s="3">
        <v>46023</v>
      </c>
      <c r="C56" t="s">
        <v>73</v>
      </c>
      <c r="D56" s="2">
        <v>138185</v>
      </c>
      <c r="E56" s="2"/>
      <c r="F56" s="2"/>
      <c r="G56" s="2"/>
      <c r="H56" s="2"/>
      <c r="I56" s="5"/>
      <c r="J56" s="5"/>
      <c r="K56" s="2"/>
      <c r="L56" s="5"/>
      <c r="M56" s="5"/>
      <c r="N56" s="2"/>
      <c r="O56" s="2"/>
      <c r="P56" s="2"/>
      <c r="Q56" s="2"/>
      <c r="R56" s="2"/>
    </row>
    <row r="57" spans="1:18" x14ac:dyDescent="0.3">
      <c r="A57" t="s">
        <v>3</v>
      </c>
      <c r="B57" s="3">
        <v>46023</v>
      </c>
      <c r="C57" t="s">
        <v>73</v>
      </c>
      <c r="D57" s="2"/>
      <c r="E57" s="2"/>
      <c r="F57" s="2"/>
      <c r="G57" s="2"/>
      <c r="H57" s="2"/>
      <c r="I57" s="5"/>
      <c r="J57" s="5"/>
      <c r="K57" s="2"/>
      <c r="L57" s="5"/>
      <c r="M57" s="5"/>
      <c r="N57" s="2"/>
      <c r="O57" s="2"/>
      <c r="P57" s="2"/>
      <c r="Q57" s="2"/>
      <c r="R57" s="2"/>
    </row>
    <row r="58" spans="1:18" x14ac:dyDescent="0.3">
      <c r="A58" t="s">
        <v>65</v>
      </c>
      <c r="B58" s="3">
        <v>46023</v>
      </c>
      <c r="C58" t="s">
        <v>74</v>
      </c>
      <c r="D58" s="2">
        <v>1839000</v>
      </c>
      <c r="E58" s="2"/>
      <c r="F58" s="2"/>
      <c r="G58" s="2"/>
      <c r="H58" s="2"/>
      <c r="I58" s="5"/>
      <c r="J58" s="5"/>
      <c r="K58" s="2"/>
      <c r="L58" s="5"/>
      <c r="M58" s="5"/>
      <c r="N58" s="2"/>
      <c r="O58" s="2"/>
      <c r="P58" s="2"/>
      <c r="Q58" s="2"/>
      <c r="R58" s="2"/>
    </row>
    <row r="59" spans="1:18" x14ac:dyDescent="0.3">
      <c r="A59" t="s">
        <v>66</v>
      </c>
      <c r="B59" s="3">
        <v>46023</v>
      </c>
      <c r="C59" t="s">
        <v>74</v>
      </c>
      <c r="D59" s="2">
        <v>231493</v>
      </c>
      <c r="E59" s="2"/>
      <c r="F59" s="2"/>
      <c r="G59" s="2"/>
      <c r="H59" s="2"/>
      <c r="I59" s="5"/>
      <c r="J59" s="5"/>
      <c r="K59" s="2"/>
      <c r="L59" s="5"/>
      <c r="M59" s="5"/>
      <c r="N59" s="2"/>
      <c r="O59" s="2"/>
      <c r="P59" s="2"/>
      <c r="Q59" s="2"/>
      <c r="R59" s="2"/>
    </row>
    <row r="60" spans="1:18" x14ac:dyDescent="0.3">
      <c r="A60" t="s">
        <v>67</v>
      </c>
      <c r="B60" s="3">
        <v>46023</v>
      </c>
      <c r="C60" t="s">
        <v>74</v>
      </c>
      <c r="D60" s="2"/>
      <c r="E60" s="2"/>
      <c r="F60" s="2"/>
      <c r="G60" s="2"/>
      <c r="H60" s="2"/>
      <c r="I60" s="5"/>
      <c r="J60" s="5"/>
      <c r="K60" s="2"/>
      <c r="L60" s="5"/>
      <c r="M60" s="5"/>
      <c r="N60" s="2"/>
      <c r="O60" s="2"/>
      <c r="P60" s="2"/>
      <c r="Q60" s="2"/>
      <c r="R60" s="2"/>
    </row>
    <row r="61" spans="1:18" x14ac:dyDescent="0.3">
      <c r="A61" t="s">
        <v>68</v>
      </c>
      <c r="B61" s="3">
        <v>46023</v>
      </c>
      <c r="C61" t="s">
        <v>74</v>
      </c>
      <c r="D61" s="2"/>
      <c r="E61" s="2"/>
      <c r="F61" s="2"/>
      <c r="G61" s="2"/>
      <c r="H61" s="2"/>
      <c r="I61" s="5"/>
      <c r="J61" s="5"/>
      <c r="K61" s="2"/>
      <c r="L61" s="5"/>
      <c r="M61" s="5"/>
      <c r="N61" s="2"/>
      <c r="O61" s="2"/>
      <c r="P61" s="2"/>
      <c r="Q61" s="2"/>
      <c r="R61" s="2"/>
    </row>
    <row r="62" spans="1:18" x14ac:dyDescent="0.3">
      <c r="A62" t="s">
        <v>8</v>
      </c>
      <c r="B62" s="3">
        <v>46023</v>
      </c>
      <c r="C62" t="s">
        <v>73</v>
      </c>
      <c r="D62" s="2"/>
      <c r="E62" s="2"/>
      <c r="F62" s="2"/>
      <c r="G62" s="2"/>
      <c r="H62" s="2"/>
      <c r="I62" s="5"/>
      <c r="J62" s="5"/>
      <c r="K62" s="2"/>
      <c r="L62" s="5"/>
      <c r="M62" s="5"/>
      <c r="N62" s="2"/>
      <c r="O62" s="2"/>
      <c r="P62" s="2"/>
      <c r="Q62" s="2"/>
      <c r="R62" s="2"/>
    </row>
    <row r="63" spans="1:18" x14ac:dyDescent="0.3">
      <c r="A63" t="s">
        <v>9</v>
      </c>
      <c r="B63" s="3">
        <v>46023</v>
      </c>
      <c r="C63" t="s">
        <v>73</v>
      </c>
      <c r="D63" s="2"/>
      <c r="E63" s="2"/>
      <c r="F63" s="2"/>
      <c r="G63" s="2"/>
      <c r="H63" s="2"/>
      <c r="I63" s="5"/>
      <c r="J63" s="5"/>
      <c r="K63" s="2"/>
      <c r="L63" s="5"/>
      <c r="M63" s="5"/>
      <c r="N63" s="2"/>
      <c r="O63" s="2"/>
      <c r="P63" s="2"/>
      <c r="Q63" s="2"/>
      <c r="R63" s="2"/>
    </row>
    <row r="64" spans="1:18" x14ac:dyDescent="0.3">
      <c r="A64" t="s">
        <v>10</v>
      </c>
      <c r="B64" s="3">
        <v>46023</v>
      </c>
      <c r="C64" t="s">
        <v>74</v>
      </c>
      <c r="D64" s="2">
        <v>976509</v>
      </c>
      <c r="E64" s="2"/>
      <c r="F64" s="2"/>
      <c r="G64" s="2"/>
      <c r="H64" s="2"/>
      <c r="I64" s="5"/>
      <c r="J64" s="5"/>
      <c r="K64" s="2"/>
      <c r="L64" s="5"/>
      <c r="M64" s="5"/>
      <c r="N64" s="2"/>
      <c r="O64" s="2"/>
      <c r="P64" s="2"/>
      <c r="Q64" s="2"/>
      <c r="R64" s="2"/>
    </row>
    <row r="65" spans="1:18" x14ac:dyDescent="0.3">
      <c r="A65" t="s">
        <v>11</v>
      </c>
      <c r="B65" s="3">
        <v>46023</v>
      </c>
      <c r="C65" t="s">
        <v>73</v>
      </c>
      <c r="D65" s="2"/>
      <c r="E65" s="2"/>
      <c r="F65" s="2"/>
      <c r="G65" s="2"/>
      <c r="H65" s="2"/>
      <c r="I65" s="5"/>
      <c r="J65" s="5"/>
      <c r="K65" s="2"/>
      <c r="L65" s="5"/>
      <c r="M65" s="5"/>
      <c r="N65" s="2"/>
      <c r="O65" s="2"/>
      <c r="P65" s="2"/>
      <c r="Q65" s="2"/>
      <c r="R65" s="2"/>
    </row>
    <row r="66" spans="1:18" x14ac:dyDescent="0.3">
      <c r="A66" t="s">
        <v>12</v>
      </c>
      <c r="B66" s="3">
        <v>46023</v>
      </c>
      <c r="C66" t="s">
        <v>73</v>
      </c>
      <c r="D66" s="2"/>
      <c r="E66" s="2"/>
      <c r="F66" s="2"/>
      <c r="G66" s="2"/>
      <c r="H66" s="2"/>
      <c r="I66" s="5"/>
      <c r="J66" s="5"/>
      <c r="K66" s="2"/>
      <c r="L66" s="5"/>
      <c r="M66" s="5"/>
      <c r="N66" s="2"/>
      <c r="O66" s="2"/>
      <c r="P66" s="2"/>
      <c r="Q66" s="2"/>
      <c r="R66" s="2"/>
    </row>
    <row r="67" spans="1:18" x14ac:dyDescent="0.3">
      <c r="A67" t="s">
        <v>69</v>
      </c>
      <c r="B67" s="3">
        <v>46023</v>
      </c>
      <c r="C67" t="s">
        <v>74</v>
      </c>
      <c r="D67" s="2"/>
      <c r="E67" s="2"/>
      <c r="F67" s="2"/>
      <c r="G67" s="2"/>
      <c r="H67" s="2"/>
      <c r="I67" s="5"/>
      <c r="J67" s="5"/>
      <c r="K67" s="2"/>
      <c r="L67" s="5"/>
      <c r="M67" s="5"/>
      <c r="N67" s="2"/>
      <c r="O67" s="2"/>
      <c r="P67" s="2"/>
      <c r="Q67" s="2"/>
      <c r="R67" s="2"/>
    </row>
    <row r="68" spans="1:18" x14ac:dyDescent="0.3">
      <c r="A68" t="s">
        <v>14</v>
      </c>
      <c r="B68" s="3">
        <v>46023</v>
      </c>
      <c r="C68" t="s">
        <v>74</v>
      </c>
      <c r="D68" s="2">
        <v>359398</v>
      </c>
      <c r="E68" s="2"/>
      <c r="F68" s="2"/>
      <c r="G68" s="2"/>
      <c r="H68" s="2"/>
      <c r="I68" s="5"/>
      <c r="J68" s="5"/>
      <c r="K68" s="2"/>
      <c r="L68" s="5"/>
      <c r="M68" s="5"/>
      <c r="N68" s="2"/>
      <c r="O68" s="2"/>
      <c r="P68" s="2"/>
      <c r="Q68" s="2"/>
      <c r="R68" s="2"/>
    </row>
    <row r="69" spans="1:18" x14ac:dyDescent="0.3">
      <c r="A69" t="s">
        <v>15</v>
      </c>
      <c r="B69" s="3">
        <v>46023</v>
      </c>
      <c r="C69" t="s">
        <v>73</v>
      </c>
      <c r="D69" s="2"/>
      <c r="E69" s="2"/>
      <c r="F69" s="2"/>
      <c r="G69" s="2"/>
      <c r="H69" s="2"/>
      <c r="I69" s="5"/>
      <c r="J69" s="5"/>
      <c r="K69" s="2"/>
      <c r="L69" s="5"/>
      <c r="M69" s="5"/>
      <c r="N69" s="2"/>
      <c r="O69" s="2"/>
      <c r="P69" s="2"/>
      <c r="Q69" s="2"/>
      <c r="R69" s="2"/>
    </row>
    <row r="70" spans="1:18" x14ac:dyDescent="0.3">
      <c r="A70" t="s">
        <v>16</v>
      </c>
      <c r="B70" s="3">
        <v>46023</v>
      </c>
      <c r="C70" t="s">
        <v>73</v>
      </c>
      <c r="D70" s="2"/>
      <c r="E70" s="2"/>
      <c r="F70" s="2"/>
      <c r="G70" s="2"/>
      <c r="H70" s="2"/>
      <c r="I70" s="5"/>
      <c r="J70" s="5"/>
      <c r="K70" s="2"/>
      <c r="L70" s="5"/>
      <c r="M70" s="5"/>
      <c r="N70" s="2"/>
      <c r="O70" s="2"/>
      <c r="P70" s="2"/>
      <c r="Q70" s="2"/>
      <c r="R70" s="2"/>
    </row>
    <row r="71" spans="1:18" x14ac:dyDescent="0.3">
      <c r="A71" t="s">
        <v>17</v>
      </c>
      <c r="B71" s="3">
        <v>46023</v>
      </c>
      <c r="C71" t="s">
        <v>74</v>
      </c>
      <c r="D71" s="2"/>
      <c r="E71" s="2"/>
      <c r="F71" s="2"/>
      <c r="G71" s="2"/>
      <c r="H71" s="2"/>
      <c r="I71" s="5"/>
      <c r="J71" s="5"/>
      <c r="K71" s="2"/>
      <c r="L71" s="5"/>
      <c r="M71" s="5"/>
      <c r="N71" s="2"/>
      <c r="O71" s="2"/>
      <c r="P71" s="2"/>
      <c r="Q71" s="2"/>
      <c r="R71" s="2"/>
    </row>
    <row r="72" spans="1:18" x14ac:dyDescent="0.3">
      <c r="A72" t="s">
        <v>18</v>
      </c>
      <c r="B72" s="3">
        <v>46023</v>
      </c>
      <c r="C72" t="s">
        <v>73</v>
      </c>
      <c r="D72" s="2"/>
      <c r="E72" s="2"/>
      <c r="F72" s="2"/>
      <c r="G72" s="2"/>
      <c r="H72" s="2"/>
      <c r="I72" s="5"/>
      <c r="J72" s="5"/>
      <c r="K72" s="2"/>
      <c r="L72" s="5"/>
      <c r="M72" s="5"/>
      <c r="N72" s="2"/>
      <c r="O72" s="2"/>
      <c r="P72" s="2"/>
      <c r="Q72" s="2"/>
      <c r="R72" s="2"/>
    </row>
    <row r="73" spans="1:18" x14ac:dyDescent="0.3">
      <c r="A73" t="s">
        <v>70</v>
      </c>
      <c r="B73" s="3">
        <v>46023</v>
      </c>
      <c r="C73" t="s">
        <v>74</v>
      </c>
      <c r="D73" s="2">
        <v>365830</v>
      </c>
      <c r="E73" s="2"/>
      <c r="F73" s="2"/>
      <c r="G73" s="2"/>
      <c r="H73" s="2"/>
      <c r="I73" s="5"/>
      <c r="J73" s="5"/>
      <c r="K73" s="2"/>
      <c r="L73" s="5"/>
      <c r="M73" s="5"/>
      <c r="N73" s="2"/>
      <c r="O73" s="2"/>
      <c r="P73" s="2"/>
      <c r="Q73" s="2"/>
      <c r="R73" s="2"/>
    </row>
    <row r="74" spans="1:18" x14ac:dyDescent="0.3">
      <c r="A74" t="s">
        <v>20</v>
      </c>
      <c r="B74" s="3">
        <v>46023</v>
      </c>
      <c r="C74" t="s">
        <v>74</v>
      </c>
      <c r="D74" s="2">
        <v>254661</v>
      </c>
      <c r="E74" s="2"/>
      <c r="F74" s="2"/>
      <c r="G74" s="2"/>
      <c r="H74" s="2"/>
      <c r="I74" s="5"/>
      <c r="J74" s="5"/>
      <c r="K74" s="2"/>
      <c r="L74" s="5"/>
      <c r="M74" s="5"/>
      <c r="N74" s="2"/>
      <c r="O74" s="2"/>
      <c r="P74" s="2"/>
      <c r="Q74" s="2"/>
      <c r="R74" s="2"/>
    </row>
    <row r="75" spans="1:18" x14ac:dyDescent="0.3">
      <c r="A75" t="s">
        <v>21</v>
      </c>
      <c r="B75" s="3">
        <v>46023</v>
      </c>
      <c r="C75" t="s">
        <v>74</v>
      </c>
      <c r="D75" s="2"/>
      <c r="E75" s="2"/>
      <c r="F75" s="2"/>
      <c r="G75" s="2"/>
      <c r="H75" s="2"/>
      <c r="I75" s="5"/>
      <c r="J75" s="5"/>
      <c r="K75" s="2"/>
      <c r="L75" s="5"/>
      <c r="M75" s="5"/>
      <c r="N75" s="2"/>
      <c r="O75" s="2"/>
      <c r="P75" s="2"/>
      <c r="Q75" s="2"/>
      <c r="R75" s="2"/>
    </row>
    <row r="76" spans="1:18" x14ac:dyDescent="0.3">
      <c r="A76" t="s">
        <v>22</v>
      </c>
      <c r="B76" s="3">
        <v>46023</v>
      </c>
      <c r="C76" t="s">
        <v>73</v>
      </c>
      <c r="D76" s="2"/>
      <c r="E76" s="2"/>
      <c r="F76" s="2"/>
      <c r="G76" s="2"/>
      <c r="H76" s="2"/>
      <c r="I76" s="5"/>
      <c r="J76" s="5"/>
      <c r="K76" s="2"/>
      <c r="L76" s="5"/>
      <c r="M76" s="5"/>
      <c r="N76" s="2"/>
      <c r="O76" s="2"/>
      <c r="P76" s="2"/>
      <c r="Q76" s="2"/>
      <c r="R76" s="2"/>
    </row>
    <row r="77" spans="1:18" x14ac:dyDescent="0.3">
      <c r="A77" t="s">
        <v>23</v>
      </c>
      <c r="B77" s="3">
        <v>46023</v>
      </c>
      <c r="C77" t="s">
        <v>74</v>
      </c>
      <c r="D77" s="2"/>
      <c r="E77" s="2"/>
      <c r="F77" s="2"/>
      <c r="G77" s="2"/>
      <c r="H77" s="2"/>
      <c r="I77" s="5"/>
      <c r="J77" s="5"/>
      <c r="K77" s="2"/>
      <c r="L77" s="5"/>
      <c r="M77" s="5"/>
      <c r="N77" s="2"/>
      <c r="O77" s="2"/>
      <c r="P77" s="2"/>
      <c r="Q77" s="2"/>
      <c r="R77" s="2"/>
    </row>
    <row r="78" spans="1:18" x14ac:dyDescent="0.3">
      <c r="A78" t="s">
        <v>24</v>
      </c>
      <c r="B78" s="3">
        <v>46023</v>
      </c>
      <c r="C78" t="s">
        <v>73</v>
      </c>
      <c r="D78" s="2"/>
      <c r="E78" s="2"/>
      <c r="F78" s="2"/>
      <c r="G78" s="2"/>
      <c r="H78" s="2"/>
      <c r="I78" s="5"/>
      <c r="J78" s="5"/>
      <c r="K78" s="2"/>
      <c r="L78" s="5"/>
      <c r="M78" s="5"/>
      <c r="N78" s="2"/>
      <c r="O78" s="2"/>
      <c r="P78" s="2"/>
      <c r="Q78" s="2"/>
      <c r="R78" s="2"/>
    </row>
    <row r="79" spans="1:18" x14ac:dyDescent="0.3">
      <c r="A79" t="s">
        <v>25</v>
      </c>
      <c r="B79" s="3">
        <v>46023</v>
      </c>
      <c r="C79" t="s">
        <v>73</v>
      </c>
      <c r="D79" s="2"/>
      <c r="E79" s="2"/>
      <c r="F79" s="2"/>
      <c r="G79" s="2"/>
      <c r="H79" s="2"/>
      <c r="I79" s="5"/>
      <c r="J79" s="5"/>
      <c r="K79" s="2"/>
      <c r="L79" s="5"/>
      <c r="M79" s="5"/>
      <c r="N79" s="2"/>
      <c r="O79" s="2"/>
      <c r="P79" s="2"/>
      <c r="Q79" s="2"/>
      <c r="R79" s="2"/>
    </row>
    <row r="80" spans="1:18" x14ac:dyDescent="0.3">
      <c r="A80" t="s">
        <v>26</v>
      </c>
      <c r="B80" s="3">
        <v>46023</v>
      </c>
      <c r="C80" t="s">
        <v>73</v>
      </c>
      <c r="D80" s="2"/>
      <c r="E80" s="2"/>
      <c r="F80" s="2"/>
      <c r="G80" s="2"/>
      <c r="H80" s="2"/>
      <c r="I80" s="5"/>
      <c r="J80" s="5"/>
      <c r="K80" s="2"/>
      <c r="L80" s="5"/>
      <c r="M80" s="5"/>
      <c r="N80" s="2"/>
      <c r="O80" s="2"/>
      <c r="P80" s="2"/>
      <c r="Q80" s="2"/>
      <c r="R80" s="2"/>
    </row>
    <row r="81" spans="1:18" x14ac:dyDescent="0.3">
      <c r="A81" t="s">
        <v>27</v>
      </c>
      <c r="B81" s="3">
        <v>46023</v>
      </c>
      <c r="C81" t="s">
        <v>73</v>
      </c>
      <c r="D81" s="2"/>
      <c r="E81" s="2"/>
      <c r="F81" s="2"/>
      <c r="G81" s="2"/>
      <c r="H81" s="2"/>
      <c r="I81" s="5"/>
      <c r="J81" s="5"/>
      <c r="K81" s="2"/>
      <c r="L81" s="5"/>
      <c r="M81" s="5"/>
      <c r="N81" s="2"/>
      <c r="O81" s="2"/>
      <c r="P81" s="2"/>
      <c r="Q81" s="2"/>
      <c r="R81" s="2"/>
    </row>
    <row r="82" spans="1:18" x14ac:dyDescent="0.3">
      <c r="A82" t="s">
        <v>28</v>
      </c>
      <c r="B82" s="3">
        <v>46023</v>
      </c>
      <c r="C82" t="s">
        <v>73</v>
      </c>
      <c r="D82" s="2"/>
      <c r="E82" s="2"/>
      <c r="F82" s="2"/>
      <c r="G82" s="2"/>
      <c r="H82" s="2"/>
      <c r="I82" s="5"/>
      <c r="J82" s="5"/>
      <c r="K82" s="2"/>
      <c r="L82" s="5"/>
      <c r="M82" s="5"/>
      <c r="N82" s="2"/>
      <c r="O82" s="2"/>
      <c r="P82" s="2"/>
      <c r="Q82" s="2"/>
      <c r="R82" s="2"/>
    </row>
    <row r="83" spans="1:18" x14ac:dyDescent="0.3">
      <c r="A83" t="s">
        <v>29</v>
      </c>
      <c r="B83" s="3">
        <v>46023</v>
      </c>
      <c r="C83" t="s">
        <v>73</v>
      </c>
      <c r="D83" s="2"/>
      <c r="E83" s="2"/>
      <c r="F83" s="2"/>
      <c r="G83" s="2"/>
      <c r="H83" s="2"/>
      <c r="I83" s="5"/>
      <c r="J83" s="5"/>
      <c r="K83" s="2"/>
      <c r="L83" s="5"/>
      <c r="M83" s="5"/>
      <c r="N83" s="2"/>
      <c r="O83" s="2"/>
      <c r="P83" s="2"/>
      <c r="Q83" s="2"/>
      <c r="R83" s="2"/>
    </row>
    <row r="84" spans="1:18" x14ac:dyDescent="0.3">
      <c r="A84" t="s">
        <v>30</v>
      </c>
      <c r="B84" s="3">
        <v>46023</v>
      </c>
      <c r="C84" t="s">
        <v>73</v>
      </c>
      <c r="D84" s="2"/>
      <c r="E84" s="2"/>
      <c r="F84" s="2"/>
      <c r="G84" s="2"/>
      <c r="H84" s="2"/>
      <c r="I84" s="5"/>
      <c r="J84" s="5"/>
      <c r="K84" s="2"/>
      <c r="L84" s="5"/>
      <c r="M84" s="5"/>
      <c r="N84" s="2"/>
      <c r="O84" s="2"/>
      <c r="P84" s="2"/>
      <c r="Q84" s="2"/>
      <c r="R84" s="2"/>
    </row>
    <row r="85" spans="1:18" x14ac:dyDescent="0.3">
      <c r="A85" t="s">
        <v>31</v>
      </c>
      <c r="B85" s="3">
        <v>46023</v>
      </c>
      <c r="C85" t="s">
        <v>74</v>
      </c>
      <c r="D85" s="2">
        <v>414716</v>
      </c>
      <c r="E85" s="2"/>
      <c r="F85" s="2"/>
      <c r="G85" s="2"/>
      <c r="H85" s="2"/>
      <c r="I85" s="5"/>
      <c r="J85" s="5"/>
      <c r="K85" s="2"/>
      <c r="L85" s="5"/>
      <c r="M85" s="5"/>
      <c r="N85" s="2"/>
      <c r="O85" s="2"/>
      <c r="P85" s="2"/>
      <c r="Q85" s="2"/>
      <c r="R85" s="2"/>
    </row>
    <row r="86" spans="1:18" x14ac:dyDescent="0.3">
      <c r="A86" t="s">
        <v>32</v>
      </c>
      <c r="B86" s="3">
        <v>46023</v>
      </c>
      <c r="C86" t="s">
        <v>74</v>
      </c>
      <c r="D86" s="2">
        <v>75241</v>
      </c>
      <c r="E86" s="2"/>
      <c r="F86" s="2"/>
      <c r="G86" s="2"/>
      <c r="H86" s="2"/>
      <c r="I86" s="5"/>
      <c r="J86" s="5"/>
      <c r="K86" s="2"/>
      <c r="L86" s="5"/>
      <c r="M86" s="5"/>
      <c r="N86" s="2"/>
      <c r="O86" s="2"/>
      <c r="P86" s="2"/>
      <c r="Q86" s="2"/>
      <c r="R86" s="2"/>
    </row>
    <row r="87" spans="1:18" x14ac:dyDescent="0.3">
      <c r="A87" t="s">
        <v>33</v>
      </c>
      <c r="B87" s="3">
        <v>46023</v>
      </c>
      <c r="C87" t="s">
        <v>74</v>
      </c>
      <c r="D87" s="2">
        <v>90619</v>
      </c>
      <c r="E87" s="2"/>
      <c r="F87" s="2"/>
      <c r="G87" s="2"/>
      <c r="H87" s="2"/>
      <c r="I87" s="5"/>
      <c r="J87" s="5"/>
      <c r="K87" s="2"/>
      <c r="L87" s="5"/>
      <c r="M87" s="5"/>
      <c r="N87" s="2"/>
      <c r="O87" s="2"/>
      <c r="P87" s="2"/>
      <c r="Q87" s="2"/>
      <c r="R87" s="2"/>
    </row>
    <row r="88" spans="1:18" x14ac:dyDescent="0.3">
      <c r="A88" t="s">
        <v>34</v>
      </c>
      <c r="B88" s="3">
        <v>46023</v>
      </c>
      <c r="C88" t="s">
        <v>74</v>
      </c>
      <c r="D88" s="2">
        <v>210669</v>
      </c>
      <c r="E88" s="2"/>
      <c r="F88" s="2"/>
      <c r="G88" s="2"/>
      <c r="H88" s="2"/>
      <c r="I88" s="5"/>
      <c r="J88" s="5"/>
      <c r="K88" s="2"/>
      <c r="L88" s="5"/>
      <c r="M88" s="5"/>
      <c r="N88" s="2"/>
      <c r="O88" s="2"/>
      <c r="P88" s="2"/>
      <c r="Q88" s="2"/>
      <c r="R88" s="2"/>
    </row>
    <row r="89" spans="1:18" x14ac:dyDescent="0.3">
      <c r="A89" t="s">
        <v>35</v>
      </c>
      <c r="B89" s="3">
        <v>46023</v>
      </c>
      <c r="C89" t="s">
        <v>73</v>
      </c>
      <c r="D89" s="2"/>
      <c r="E89" s="2"/>
      <c r="F89" s="2"/>
      <c r="G89" s="2"/>
      <c r="H89" s="2"/>
      <c r="I89" s="5"/>
      <c r="J89" s="5"/>
      <c r="K89" s="2"/>
      <c r="L89" s="5"/>
      <c r="M89" s="5"/>
      <c r="N89" s="2"/>
      <c r="O89" s="2"/>
      <c r="P89" s="2"/>
      <c r="Q89" s="2"/>
      <c r="R89" s="2"/>
    </row>
    <row r="90" spans="1:18" x14ac:dyDescent="0.3">
      <c r="A90" t="s">
        <v>36</v>
      </c>
      <c r="B90" s="3">
        <v>46023</v>
      </c>
      <c r="C90" t="s">
        <v>73</v>
      </c>
      <c r="D90" s="2"/>
      <c r="E90" s="2"/>
      <c r="F90" s="2"/>
      <c r="G90" s="2"/>
      <c r="H90" s="2"/>
      <c r="I90" s="5"/>
      <c r="J90" s="5"/>
      <c r="K90" s="2"/>
      <c r="L90" s="5"/>
      <c r="M90" s="5"/>
      <c r="N90" s="2"/>
      <c r="O90" s="2"/>
      <c r="P90" s="2"/>
      <c r="Q90" s="2"/>
      <c r="R90" s="2"/>
    </row>
    <row r="91" spans="1:18" x14ac:dyDescent="0.3">
      <c r="A91" t="s">
        <v>37</v>
      </c>
      <c r="B91" s="3">
        <v>46023</v>
      </c>
      <c r="C91" t="s">
        <v>73</v>
      </c>
      <c r="D91" s="2"/>
      <c r="E91" s="2"/>
      <c r="F91" s="2"/>
      <c r="G91" s="2"/>
      <c r="H91" s="2"/>
      <c r="I91" s="5"/>
      <c r="J91" s="5"/>
      <c r="K91" s="2"/>
      <c r="L91" s="5"/>
      <c r="M91" s="5"/>
      <c r="N91" s="2"/>
      <c r="O91" s="2"/>
      <c r="P91" s="2"/>
      <c r="Q91" s="2"/>
      <c r="R91" s="2"/>
    </row>
    <row r="92" spans="1:18" x14ac:dyDescent="0.3">
      <c r="A92" t="s">
        <v>38</v>
      </c>
      <c r="B92" s="3">
        <v>46023</v>
      </c>
      <c r="C92" t="s">
        <v>74</v>
      </c>
      <c r="D92" s="2">
        <v>486577</v>
      </c>
      <c r="E92" s="2"/>
      <c r="F92" s="2"/>
      <c r="G92" s="2"/>
      <c r="H92" s="2"/>
      <c r="I92" s="5"/>
      <c r="J92" s="5"/>
      <c r="K92" s="2"/>
      <c r="L92" s="5"/>
      <c r="M92" s="5"/>
      <c r="N92" s="2"/>
      <c r="O92" s="2"/>
      <c r="P92" s="2"/>
      <c r="Q92" s="2"/>
      <c r="R92" s="2"/>
    </row>
    <row r="93" spans="1:18" x14ac:dyDescent="0.3">
      <c r="A93" t="s">
        <v>71</v>
      </c>
      <c r="B93" s="3">
        <v>46023</v>
      </c>
      <c r="C93" t="s">
        <v>74</v>
      </c>
      <c r="D93" s="2"/>
      <c r="E93" s="2"/>
      <c r="F93" s="2"/>
      <c r="G93" s="2"/>
      <c r="H93" s="2"/>
      <c r="I93" s="5"/>
      <c r="J93" s="5"/>
      <c r="K93" s="2"/>
      <c r="L93" s="5"/>
      <c r="M93" s="5"/>
      <c r="N93" s="2"/>
      <c r="O93" s="2"/>
      <c r="P93" s="2"/>
      <c r="Q93" s="2"/>
      <c r="R93" s="2"/>
    </row>
    <row r="94" spans="1:18" x14ac:dyDescent="0.3">
      <c r="A94" t="s">
        <v>40</v>
      </c>
      <c r="B94" s="3">
        <v>46023</v>
      </c>
      <c r="C94" t="s">
        <v>73</v>
      </c>
      <c r="D94" s="2"/>
      <c r="E94" s="2"/>
      <c r="F94" s="2"/>
      <c r="G94" s="2"/>
      <c r="H94" s="2"/>
      <c r="I94" s="5"/>
      <c r="J94" s="5"/>
      <c r="K94" s="2"/>
      <c r="L94" s="5"/>
      <c r="M94" s="5"/>
      <c r="N94" s="2"/>
      <c r="O94" s="2"/>
      <c r="P94" s="2"/>
      <c r="Q94" s="2"/>
      <c r="R94" s="2"/>
    </row>
    <row r="95" spans="1:18" x14ac:dyDescent="0.3">
      <c r="A95" t="s">
        <v>41</v>
      </c>
      <c r="B95" s="3">
        <v>46023</v>
      </c>
      <c r="C95" t="s">
        <v>73</v>
      </c>
      <c r="D95" s="2"/>
      <c r="E95" s="2"/>
      <c r="F95" s="2"/>
      <c r="G95" s="2"/>
      <c r="H95" s="2"/>
      <c r="I95" s="5"/>
      <c r="J95" s="5"/>
      <c r="K95" s="2"/>
      <c r="L95" s="5"/>
      <c r="M95" s="5"/>
      <c r="N95" s="2"/>
      <c r="O95" s="2"/>
      <c r="P95" s="2"/>
      <c r="Q95" s="2"/>
      <c r="R95" s="2"/>
    </row>
    <row r="96" spans="1:18" x14ac:dyDescent="0.3">
      <c r="A96" t="s">
        <v>42</v>
      </c>
      <c r="B96" s="3">
        <v>46023</v>
      </c>
      <c r="C96" t="s">
        <v>73</v>
      </c>
      <c r="D96" s="2"/>
      <c r="E96" s="2"/>
      <c r="F96" s="2"/>
      <c r="G96" s="2"/>
      <c r="H96" s="2"/>
      <c r="I96" s="5"/>
      <c r="J96" s="5"/>
      <c r="K96" s="2"/>
      <c r="L96" s="5"/>
      <c r="M96" s="5"/>
      <c r="N96" s="2"/>
      <c r="O96" s="2"/>
      <c r="P96" s="2"/>
      <c r="Q96" s="2"/>
      <c r="R96" s="2"/>
    </row>
    <row r="97" spans="1:18" x14ac:dyDescent="0.3">
      <c r="A97" t="s">
        <v>43</v>
      </c>
      <c r="B97" s="3">
        <v>46023</v>
      </c>
      <c r="C97" t="s">
        <v>73</v>
      </c>
      <c r="D97" s="2"/>
      <c r="E97" s="2"/>
      <c r="F97" s="2"/>
      <c r="G97" s="2"/>
      <c r="H97" s="2"/>
      <c r="I97" s="5"/>
      <c r="J97" s="5"/>
      <c r="K97" s="2"/>
      <c r="L97" s="5"/>
      <c r="M97" s="5"/>
      <c r="N97" s="2"/>
      <c r="O97" s="2"/>
      <c r="P97" s="2"/>
      <c r="Q97" s="2"/>
      <c r="R97" s="2"/>
    </row>
    <row r="98" spans="1:18" x14ac:dyDescent="0.3">
      <c r="A98" t="s">
        <v>44</v>
      </c>
      <c r="B98" s="3">
        <v>46023</v>
      </c>
      <c r="C98" t="s">
        <v>73</v>
      </c>
      <c r="D98" s="2"/>
      <c r="E98" s="2"/>
      <c r="F98" s="2"/>
      <c r="G98" s="2"/>
      <c r="H98" s="2"/>
      <c r="I98" s="5"/>
      <c r="J98" s="5"/>
      <c r="K98" s="2"/>
      <c r="L98" s="5"/>
      <c r="M98" s="5"/>
      <c r="N98" s="2"/>
      <c r="O98" s="2"/>
      <c r="P98" s="2"/>
      <c r="Q98" s="2"/>
      <c r="R98" s="2"/>
    </row>
    <row r="99" spans="1:18" x14ac:dyDescent="0.3">
      <c r="A99" t="s">
        <v>45</v>
      </c>
      <c r="B99" s="3">
        <v>46023</v>
      </c>
      <c r="C99" t="s">
        <v>74</v>
      </c>
      <c r="D99" s="2"/>
      <c r="E99" s="2"/>
      <c r="F99" s="2"/>
      <c r="G99" s="2"/>
      <c r="H99" s="2"/>
      <c r="I99" s="5"/>
      <c r="J99" s="5"/>
      <c r="K99" s="2"/>
      <c r="L99" s="5"/>
      <c r="M99" s="5"/>
      <c r="N99" s="2"/>
      <c r="O99" s="2"/>
      <c r="P99" s="2"/>
      <c r="Q99" s="2"/>
      <c r="R99" s="2"/>
    </row>
    <row r="100" spans="1:18" x14ac:dyDescent="0.3">
      <c r="A100" t="s">
        <v>46</v>
      </c>
      <c r="B100" s="3">
        <v>46023</v>
      </c>
      <c r="C100" t="s">
        <v>74</v>
      </c>
      <c r="D100" s="2">
        <v>27547</v>
      </c>
      <c r="E100" s="2"/>
      <c r="F100" s="2"/>
      <c r="G100" s="2"/>
      <c r="H100" s="2"/>
      <c r="I100" s="5"/>
      <c r="J100" s="5"/>
      <c r="K100" s="2"/>
      <c r="L100" s="5"/>
      <c r="M100" s="5"/>
      <c r="N100" s="2"/>
      <c r="O100" s="2"/>
      <c r="P100" s="2"/>
      <c r="Q100" s="2"/>
      <c r="R100" s="2"/>
    </row>
    <row r="101" spans="1:18" x14ac:dyDescent="0.3">
      <c r="A101" t="s">
        <v>72</v>
      </c>
      <c r="B101" s="3">
        <v>46023</v>
      </c>
      <c r="C101" t="s">
        <v>74</v>
      </c>
      <c r="D101" s="2">
        <v>270000</v>
      </c>
      <c r="E101" s="2"/>
      <c r="F101" s="2"/>
      <c r="G101" s="2"/>
      <c r="H101" s="2"/>
      <c r="I101" s="5"/>
      <c r="J101" s="5"/>
      <c r="K101" s="2"/>
      <c r="L101" s="5"/>
      <c r="M101" s="5"/>
      <c r="N101" s="2"/>
      <c r="O101" s="2"/>
      <c r="P101" s="2"/>
      <c r="Q101" s="2"/>
      <c r="R101" s="2"/>
    </row>
    <row r="102" spans="1:18" x14ac:dyDescent="0.3">
      <c r="A102" t="s">
        <v>48</v>
      </c>
      <c r="B102" s="3">
        <v>46023</v>
      </c>
      <c r="C102" t="s">
        <v>73</v>
      </c>
      <c r="D102" s="2"/>
      <c r="E102" s="2"/>
      <c r="F102" s="2"/>
      <c r="G102" s="2"/>
      <c r="H102" s="2"/>
      <c r="I102" s="5"/>
      <c r="J102" s="5"/>
      <c r="K102" s="2"/>
      <c r="L102" s="5"/>
      <c r="M102" s="5"/>
      <c r="N102" s="2"/>
      <c r="O102" s="2"/>
      <c r="P102" s="2"/>
      <c r="Q102" s="2"/>
      <c r="R102" s="2"/>
    </row>
    <row r="103" spans="1:18" x14ac:dyDescent="0.3">
      <c r="A103" t="s">
        <v>49</v>
      </c>
      <c r="B103" s="3">
        <v>46023</v>
      </c>
      <c r="C103" t="s">
        <v>73</v>
      </c>
      <c r="D103" s="2"/>
      <c r="E103" s="2"/>
      <c r="F103" s="2"/>
      <c r="G103" s="2"/>
      <c r="H103" s="2"/>
      <c r="I103" s="5"/>
      <c r="J103" s="5"/>
      <c r="K103" s="2"/>
      <c r="L103" s="5"/>
      <c r="M103" s="5"/>
      <c r="N103" s="2"/>
      <c r="O103" s="2"/>
      <c r="P103" s="2"/>
      <c r="Q103" s="2"/>
      <c r="R103" s="2"/>
    </row>
    <row r="104" spans="1:18" x14ac:dyDescent="0.3">
      <c r="A104" t="s">
        <v>50</v>
      </c>
      <c r="B104" s="3">
        <v>46023</v>
      </c>
      <c r="C104" t="s">
        <v>73</v>
      </c>
      <c r="D104" s="2"/>
      <c r="E104" s="2"/>
      <c r="F104" s="2"/>
      <c r="G104" s="2"/>
      <c r="H104" s="2"/>
      <c r="I104" s="5"/>
      <c r="J104" s="5"/>
      <c r="K104" s="2"/>
      <c r="L104" s="5"/>
      <c r="M104" s="5"/>
      <c r="N104" s="2"/>
      <c r="O104" s="2"/>
      <c r="P104" s="2"/>
      <c r="Q104" s="2"/>
      <c r="R104" s="2"/>
    </row>
    <row r="105" spans="1:18" x14ac:dyDescent="0.3">
      <c r="A105" t="s">
        <v>63</v>
      </c>
      <c r="B105" s="3">
        <v>46023</v>
      </c>
      <c r="C105" t="s">
        <v>82</v>
      </c>
      <c r="D105" s="2"/>
      <c r="E105" s="2"/>
      <c r="F105" s="2"/>
      <c r="G105" s="2"/>
      <c r="H105" s="2"/>
      <c r="I105" s="5"/>
      <c r="J105" s="5"/>
      <c r="K105" s="2"/>
      <c r="L105" s="5"/>
      <c r="M105" s="5"/>
      <c r="N105" s="2"/>
      <c r="O105" s="2"/>
      <c r="P105" s="2"/>
      <c r="Q105" s="2"/>
      <c r="R105" s="2"/>
    </row>
    <row r="106" spans="1:18" x14ac:dyDescent="0.3">
      <c r="A106" t="s">
        <v>0</v>
      </c>
      <c r="B106" s="3">
        <v>46054</v>
      </c>
      <c r="C106" t="s">
        <v>73</v>
      </c>
    </row>
    <row r="107" spans="1:18" x14ac:dyDescent="0.3">
      <c r="A107" t="s">
        <v>1</v>
      </c>
      <c r="B107" s="3">
        <v>46054</v>
      </c>
      <c r="C107" t="s">
        <v>73</v>
      </c>
    </row>
    <row r="108" spans="1:18" x14ac:dyDescent="0.3">
      <c r="A108" t="s">
        <v>2</v>
      </c>
      <c r="B108" s="3">
        <v>46054</v>
      </c>
      <c r="C108" t="s">
        <v>73</v>
      </c>
      <c r="D108">
        <v>136744</v>
      </c>
    </row>
    <row r="109" spans="1:18" x14ac:dyDescent="0.3">
      <c r="A109" t="s">
        <v>3</v>
      </c>
      <c r="B109" s="3">
        <v>46054</v>
      </c>
      <c r="C109" t="s">
        <v>73</v>
      </c>
    </row>
    <row r="110" spans="1:18" x14ac:dyDescent="0.3">
      <c r="A110" t="s">
        <v>65</v>
      </c>
      <c r="B110" s="3">
        <v>46054</v>
      </c>
      <c r="C110" t="s">
        <v>74</v>
      </c>
      <c r="D110">
        <v>1800000</v>
      </c>
    </row>
    <row r="111" spans="1:18" x14ac:dyDescent="0.3">
      <c r="A111" t="s">
        <v>66</v>
      </c>
      <c r="B111" s="3">
        <v>46054</v>
      </c>
      <c r="C111" t="s">
        <v>74</v>
      </c>
      <c r="D111">
        <v>243480</v>
      </c>
    </row>
    <row r="112" spans="1:18" x14ac:dyDescent="0.3">
      <c r="A112" t="s">
        <v>67</v>
      </c>
      <c r="B112" s="3">
        <v>46054</v>
      </c>
      <c r="C112" t="s">
        <v>74</v>
      </c>
    </row>
    <row r="113" spans="1:4" x14ac:dyDescent="0.3">
      <c r="A113" t="s">
        <v>68</v>
      </c>
      <c r="B113" s="3">
        <v>46054</v>
      </c>
      <c r="C113" t="s">
        <v>74</v>
      </c>
    </row>
    <row r="114" spans="1:4" x14ac:dyDescent="0.3">
      <c r="A114" t="s">
        <v>8</v>
      </c>
      <c r="B114" s="3">
        <v>46054</v>
      </c>
      <c r="C114" t="s">
        <v>73</v>
      </c>
    </row>
    <row r="115" spans="1:4" x14ac:dyDescent="0.3">
      <c r="A115" t="s">
        <v>9</v>
      </c>
      <c r="B115" s="3">
        <v>46054</v>
      </c>
      <c r="C115" t="s">
        <v>73</v>
      </c>
    </row>
    <row r="116" spans="1:4" x14ac:dyDescent="0.3">
      <c r="A116" t="s">
        <v>10</v>
      </c>
      <c r="B116" s="3">
        <v>46054</v>
      </c>
      <c r="C116" t="s">
        <v>74</v>
      </c>
      <c r="D116">
        <v>934440</v>
      </c>
    </row>
    <row r="117" spans="1:4" x14ac:dyDescent="0.3">
      <c r="A117" t="s">
        <v>11</v>
      </c>
      <c r="B117" s="3">
        <v>46054</v>
      </c>
      <c r="C117" t="s">
        <v>73</v>
      </c>
    </row>
    <row r="118" spans="1:4" x14ac:dyDescent="0.3">
      <c r="A118" t="s">
        <v>12</v>
      </c>
      <c r="B118" s="3">
        <v>46054</v>
      </c>
      <c r="C118" t="s">
        <v>73</v>
      </c>
    </row>
    <row r="119" spans="1:4" x14ac:dyDescent="0.3">
      <c r="A119" t="s">
        <v>69</v>
      </c>
      <c r="B119" s="3">
        <v>46054</v>
      </c>
      <c r="C119" t="s">
        <v>74</v>
      </c>
    </row>
    <row r="120" spans="1:4" x14ac:dyDescent="0.3">
      <c r="A120" t="s">
        <v>14</v>
      </c>
      <c r="B120" s="3">
        <v>46054</v>
      </c>
      <c r="C120" t="s">
        <v>74</v>
      </c>
      <c r="D120">
        <v>371468</v>
      </c>
    </row>
    <row r="121" spans="1:4" x14ac:dyDescent="0.3">
      <c r="A121" t="s">
        <v>15</v>
      </c>
      <c r="B121" s="3">
        <v>46054</v>
      </c>
      <c r="C121" t="s">
        <v>73</v>
      </c>
    </row>
    <row r="122" spans="1:4" x14ac:dyDescent="0.3">
      <c r="A122" t="s">
        <v>16</v>
      </c>
      <c r="B122" s="3">
        <v>46054</v>
      </c>
      <c r="C122" t="s">
        <v>73</v>
      </c>
    </row>
    <row r="123" spans="1:4" x14ac:dyDescent="0.3">
      <c r="A123" t="s">
        <v>17</v>
      </c>
      <c r="B123" s="3">
        <v>46054</v>
      </c>
      <c r="C123" t="s">
        <v>74</v>
      </c>
    </row>
    <row r="124" spans="1:4" x14ac:dyDescent="0.3">
      <c r="A124" t="s">
        <v>18</v>
      </c>
      <c r="B124" s="3">
        <v>46054</v>
      </c>
      <c r="C124" t="s">
        <v>73</v>
      </c>
    </row>
    <row r="125" spans="1:4" x14ac:dyDescent="0.3">
      <c r="A125" t="s">
        <v>70</v>
      </c>
      <c r="B125" s="3">
        <v>46054</v>
      </c>
      <c r="C125" t="s">
        <v>74</v>
      </c>
      <c r="D125">
        <v>352123</v>
      </c>
    </row>
    <row r="126" spans="1:4" x14ac:dyDescent="0.3">
      <c r="A126" t="s">
        <v>20</v>
      </c>
      <c r="B126" s="3">
        <v>46054</v>
      </c>
      <c r="C126" t="s">
        <v>74</v>
      </c>
      <c r="D126">
        <v>243929</v>
      </c>
    </row>
    <row r="127" spans="1:4" x14ac:dyDescent="0.3">
      <c r="A127" t="s">
        <v>21</v>
      </c>
      <c r="B127" s="3">
        <v>46054</v>
      </c>
      <c r="C127" t="s">
        <v>74</v>
      </c>
    </row>
    <row r="128" spans="1:4" x14ac:dyDescent="0.3">
      <c r="A128" t="s">
        <v>22</v>
      </c>
      <c r="B128" s="3">
        <v>46054</v>
      </c>
      <c r="C128" t="s">
        <v>73</v>
      </c>
    </row>
    <row r="129" spans="1:4" x14ac:dyDescent="0.3">
      <c r="A129" t="s">
        <v>23</v>
      </c>
      <c r="B129" s="3">
        <v>46054</v>
      </c>
      <c r="C129" t="s">
        <v>74</v>
      </c>
    </row>
    <row r="130" spans="1:4" x14ac:dyDescent="0.3">
      <c r="A130" t="s">
        <v>24</v>
      </c>
      <c r="B130" s="3">
        <v>46054</v>
      </c>
      <c r="C130" t="s">
        <v>73</v>
      </c>
    </row>
    <row r="131" spans="1:4" x14ac:dyDescent="0.3">
      <c r="A131" t="s">
        <v>25</v>
      </c>
      <c r="B131" s="3">
        <v>46054</v>
      </c>
      <c r="C131" t="s">
        <v>73</v>
      </c>
    </row>
    <row r="132" spans="1:4" x14ac:dyDescent="0.3">
      <c r="A132" t="s">
        <v>26</v>
      </c>
      <c r="B132" s="3">
        <v>46054</v>
      </c>
      <c r="C132" t="s">
        <v>73</v>
      </c>
    </row>
    <row r="133" spans="1:4" x14ac:dyDescent="0.3">
      <c r="A133" t="s">
        <v>27</v>
      </c>
      <c r="B133" s="3">
        <v>46054</v>
      </c>
      <c r="C133" t="s">
        <v>73</v>
      </c>
    </row>
    <row r="134" spans="1:4" x14ac:dyDescent="0.3">
      <c r="A134" t="s">
        <v>28</v>
      </c>
      <c r="B134" s="3">
        <v>46054</v>
      </c>
      <c r="C134" t="s">
        <v>73</v>
      </c>
    </row>
    <row r="135" spans="1:4" x14ac:dyDescent="0.3">
      <c r="A135" t="s">
        <v>29</v>
      </c>
      <c r="B135" s="3">
        <v>46054</v>
      </c>
      <c r="C135" t="s">
        <v>73</v>
      </c>
    </row>
    <row r="136" spans="1:4" x14ac:dyDescent="0.3">
      <c r="A136" t="s">
        <v>30</v>
      </c>
      <c r="B136" s="3">
        <v>46054</v>
      </c>
      <c r="C136" t="s">
        <v>73</v>
      </c>
    </row>
    <row r="137" spans="1:4" x14ac:dyDescent="0.3">
      <c r="A137" t="s">
        <v>31</v>
      </c>
      <c r="B137" s="3">
        <v>46054</v>
      </c>
      <c r="C137" t="s">
        <v>74</v>
      </c>
      <c r="D137">
        <v>442850</v>
      </c>
    </row>
    <row r="138" spans="1:4" x14ac:dyDescent="0.3">
      <c r="A138" t="s">
        <v>32</v>
      </c>
      <c r="B138" s="3">
        <v>46054</v>
      </c>
      <c r="C138" t="s">
        <v>74</v>
      </c>
      <c r="D138">
        <v>79756</v>
      </c>
    </row>
    <row r="139" spans="1:4" x14ac:dyDescent="0.3">
      <c r="A139" t="s">
        <v>33</v>
      </c>
      <c r="B139" s="3">
        <v>46054</v>
      </c>
      <c r="C139" t="s">
        <v>74</v>
      </c>
      <c r="D139">
        <v>95713</v>
      </c>
    </row>
    <row r="140" spans="1:4" x14ac:dyDescent="0.3">
      <c r="A140" t="s">
        <v>34</v>
      </c>
      <c r="B140" s="3">
        <v>46054</v>
      </c>
      <c r="C140" t="s">
        <v>74</v>
      </c>
      <c r="D140">
        <v>208813</v>
      </c>
    </row>
    <row r="141" spans="1:4" x14ac:dyDescent="0.3">
      <c r="A141" t="s">
        <v>35</v>
      </c>
      <c r="B141" s="3">
        <v>46054</v>
      </c>
      <c r="C141" t="s">
        <v>73</v>
      </c>
    </row>
    <row r="142" spans="1:4" x14ac:dyDescent="0.3">
      <c r="A142" t="s">
        <v>36</v>
      </c>
      <c r="B142" s="3">
        <v>46054</v>
      </c>
      <c r="C142" t="s">
        <v>73</v>
      </c>
    </row>
    <row r="143" spans="1:4" x14ac:dyDescent="0.3">
      <c r="A143" t="s">
        <v>37</v>
      </c>
      <c r="B143" s="3">
        <v>46054</v>
      </c>
      <c r="C143" t="s">
        <v>73</v>
      </c>
    </row>
    <row r="144" spans="1:4" x14ac:dyDescent="0.3">
      <c r="A144" t="s">
        <v>38</v>
      </c>
      <c r="B144" s="3">
        <v>46054</v>
      </c>
      <c r="C144" t="s">
        <v>74</v>
      </c>
      <c r="D144">
        <v>478933</v>
      </c>
    </row>
    <row r="145" spans="1:4" x14ac:dyDescent="0.3">
      <c r="A145" t="s">
        <v>71</v>
      </c>
      <c r="B145" s="3">
        <v>46054</v>
      </c>
      <c r="C145" t="s">
        <v>74</v>
      </c>
    </row>
    <row r="146" spans="1:4" x14ac:dyDescent="0.3">
      <c r="A146" t="s">
        <v>40</v>
      </c>
      <c r="B146" s="3">
        <v>46054</v>
      </c>
      <c r="C146" t="s">
        <v>73</v>
      </c>
    </row>
    <row r="147" spans="1:4" x14ac:dyDescent="0.3">
      <c r="A147" t="s">
        <v>41</v>
      </c>
      <c r="B147" s="3">
        <v>46054</v>
      </c>
      <c r="C147" t="s">
        <v>73</v>
      </c>
    </row>
    <row r="148" spans="1:4" x14ac:dyDescent="0.3">
      <c r="A148" t="s">
        <v>42</v>
      </c>
      <c r="B148" s="3">
        <v>46054</v>
      </c>
      <c r="C148" t="s">
        <v>73</v>
      </c>
    </row>
    <row r="149" spans="1:4" x14ac:dyDescent="0.3">
      <c r="A149" t="s">
        <v>43</v>
      </c>
      <c r="B149" s="3">
        <v>46054</v>
      </c>
      <c r="C149" t="s">
        <v>73</v>
      </c>
    </row>
    <row r="150" spans="1:4" x14ac:dyDescent="0.3">
      <c r="A150" t="s">
        <v>44</v>
      </c>
      <c r="B150" s="3">
        <v>46054</v>
      </c>
      <c r="C150" t="s">
        <v>73</v>
      </c>
    </row>
    <row r="151" spans="1:4" x14ac:dyDescent="0.3">
      <c r="A151" t="s">
        <v>45</v>
      </c>
      <c r="B151" s="3">
        <v>46054</v>
      </c>
      <c r="C151" t="s">
        <v>74</v>
      </c>
    </row>
    <row r="152" spans="1:4" x14ac:dyDescent="0.3">
      <c r="A152" t="s">
        <v>46</v>
      </c>
      <c r="B152" s="3">
        <v>46054</v>
      </c>
      <c r="C152" t="s">
        <v>74</v>
      </c>
      <c r="D152">
        <v>28574</v>
      </c>
    </row>
    <row r="153" spans="1:4" x14ac:dyDescent="0.3">
      <c r="A153" t="s">
        <v>72</v>
      </c>
      <c r="B153" s="3">
        <v>46054</v>
      </c>
      <c r="C153" t="s">
        <v>74</v>
      </c>
      <c r="D153">
        <v>249977</v>
      </c>
    </row>
    <row r="154" spans="1:4" x14ac:dyDescent="0.3">
      <c r="A154" t="s">
        <v>48</v>
      </c>
      <c r="B154" s="3">
        <v>46054</v>
      </c>
      <c r="C154" t="s">
        <v>73</v>
      </c>
    </row>
    <row r="155" spans="1:4" x14ac:dyDescent="0.3">
      <c r="A155" t="s">
        <v>49</v>
      </c>
      <c r="B155" s="3">
        <v>46054</v>
      </c>
      <c r="C155" t="s">
        <v>73</v>
      </c>
    </row>
    <row r="156" spans="1:4" x14ac:dyDescent="0.3">
      <c r="A156" t="s">
        <v>50</v>
      </c>
      <c r="B156" s="3">
        <v>46054</v>
      </c>
      <c r="C156" t="s">
        <v>73</v>
      </c>
    </row>
    <row r="157" spans="1:4" x14ac:dyDescent="0.3">
      <c r="A157" t="s">
        <v>63</v>
      </c>
      <c r="B157" s="3">
        <v>46054</v>
      </c>
      <c r="C157" t="s">
        <v>82</v>
      </c>
    </row>
    <row r="158" spans="1:4" x14ac:dyDescent="0.3">
      <c r="A158" t="s">
        <v>0</v>
      </c>
      <c r="B158" s="3">
        <v>46082</v>
      </c>
      <c r="C158" t="s">
        <v>73</v>
      </c>
    </row>
    <row r="159" spans="1:4" x14ac:dyDescent="0.3">
      <c r="A159" t="s">
        <v>1</v>
      </c>
      <c r="B159" s="3">
        <v>46082</v>
      </c>
      <c r="C159" t="s">
        <v>73</v>
      </c>
    </row>
    <row r="160" spans="1:4" x14ac:dyDescent="0.3">
      <c r="A160" t="s">
        <v>2</v>
      </c>
      <c r="B160" s="3">
        <v>46082</v>
      </c>
      <c r="C160" t="s">
        <v>73</v>
      </c>
      <c r="D160">
        <v>136415</v>
      </c>
    </row>
    <row r="161" spans="1:4" x14ac:dyDescent="0.3">
      <c r="A161" t="s">
        <v>3</v>
      </c>
      <c r="B161" s="3">
        <v>46082</v>
      </c>
      <c r="C161" t="s">
        <v>73</v>
      </c>
    </row>
    <row r="162" spans="1:4" x14ac:dyDescent="0.3">
      <c r="A162" t="s">
        <v>65</v>
      </c>
      <c r="B162" s="3">
        <v>46082</v>
      </c>
      <c r="C162" t="s">
        <v>74</v>
      </c>
    </row>
    <row r="163" spans="1:4" x14ac:dyDescent="0.3">
      <c r="A163" t="s">
        <v>66</v>
      </c>
      <c r="B163" s="3">
        <v>46082</v>
      </c>
      <c r="C163" t="s">
        <v>74</v>
      </c>
      <c r="D163">
        <v>243446</v>
      </c>
    </row>
    <row r="164" spans="1:4" x14ac:dyDescent="0.3">
      <c r="A164" t="s">
        <v>67</v>
      </c>
      <c r="B164" s="3">
        <v>46082</v>
      </c>
      <c r="C164" t="s">
        <v>74</v>
      </c>
    </row>
    <row r="165" spans="1:4" x14ac:dyDescent="0.3">
      <c r="A165" t="s">
        <v>68</v>
      </c>
      <c r="B165" s="3">
        <v>46082</v>
      </c>
      <c r="C165" t="s">
        <v>74</v>
      </c>
    </row>
    <row r="166" spans="1:4" x14ac:dyDescent="0.3">
      <c r="A166" t="s">
        <v>8</v>
      </c>
      <c r="B166" s="3">
        <v>46082</v>
      </c>
      <c r="C166" t="s">
        <v>73</v>
      </c>
    </row>
    <row r="167" spans="1:4" x14ac:dyDescent="0.3">
      <c r="A167" t="s">
        <v>9</v>
      </c>
      <c r="B167" s="3">
        <v>46082</v>
      </c>
      <c r="C167" t="s">
        <v>73</v>
      </c>
    </row>
    <row r="168" spans="1:4" x14ac:dyDescent="0.3">
      <c r="A168" t="s">
        <v>10</v>
      </c>
      <c r="B168" s="3">
        <v>46082</v>
      </c>
      <c r="C168" t="s">
        <v>74</v>
      </c>
      <c r="D168">
        <v>942864</v>
      </c>
    </row>
    <row r="169" spans="1:4" x14ac:dyDescent="0.3">
      <c r="A169" t="s">
        <v>11</v>
      </c>
      <c r="B169" s="3">
        <v>46082</v>
      </c>
      <c r="C169" t="s">
        <v>73</v>
      </c>
    </row>
    <row r="170" spans="1:4" x14ac:dyDescent="0.3">
      <c r="A170" t="s">
        <v>12</v>
      </c>
      <c r="B170" s="3">
        <v>46082</v>
      </c>
      <c r="C170" t="s">
        <v>73</v>
      </c>
    </row>
    <row r="171" spans="1:4" x14ac:dyDescent="0.3">
      <c r="A171" t="s">
        <v>69</v>
      </c>
      <c r="B171" s="3">
        <v>46082</v>
      </c>
      <c r="C171" t="s">
        <v>74</v>
      </c>
    </row>
    <row r="172" spans="1:4" x14ac:dyDescent="0.3">
      <c r="A172" t="s">
        <v>14</v>
      </c>
      <c r="B172" s="3">
        <v>46082</v>
      </c>
      <c r="C172" t="s">
        <v>74</v>
      </c>
      <c r="D172">
        <v>372104</v>
      </c>
    </row>
    <row r="173" spans="1:4" x14ac:dyDescent="0.3">
      <c r="A173" t="s">
        <v>15</v>
      </c>
      <c r="B173" s="3">
        <v>46082</v>
      </c>
      <c r="C173" t="s">
        <v>73</v>
      </c>
    </row>
    <row r="174" spans="1:4" x14ac:dyDescent="0.3">
      <c r="A174" t="s">
        <v>16</v>
      </c>
      <c r="B174" s="3">
        <v>46082</v>
      </c>
      <c r="C174" t="s">
        <v>73</v>
      </c>
    </row>
    <row r="175" spans="1:4" x14ac:dyDescent="0.3">
      <c r="A175" t="s">
        <v>17</v>
      </c>
      <c r="B175" s="3">
        <v>46082</v>
      </c>
      <c r="C175" t="s">
        <v>74</v>
      </c>
    </row>
    <row r="176" spans="1:4" x14ac:dyDescent="0.3">
      <c r="A176" t="s">
        <v>18</v>
      </c>
      <c r="B176" s="3">
        <v>46082</v>
      </c>
      <c r="C176" t="s">
        <v>73</v>
      </c>
    </row>
    <row r="177" spans="1:4" x14ac:dyDescent="0.3">
      <c r="A177" t="s">
        <v>70</v>
      </c>
      <c r="B177" s="3">
        <v>46082</v>
      </c>
      <c r="C177" t="s">
        <v>74</v>
      </c>
      <c r="D177">
        <v>351595</v>
      </c>
    </row>
    <row r="178" spans="1:4" x14ac:dyDescent="0.3">
      <c r="A178" t="s">
        <v>20</v>
      </c>
      <c r="B178" s="3">
        <v>46082</v>
      </c>
      <c r="C178" t="s">
        <v>74</v>
      </c>
      <c r="D178">
        <v>239707</v>
      </c>
    </row>
    <row r="179" spans="1:4" x14ac:dyDescent="0.3">
      <c r="A179" t="s">
        <v>21</v>
      </c>
      <c r="B179" s="3">
        <v>46082</v>
      </c>
      <c r="C179" t="s">
        <v>74</v>
      </c>
    </row>
    <row r="180" spans="1:4" x14ac:dyDescent="0.3">
      <c r="A180" t="s">
        <v>22</v>
      </c>
      <c r="B180" s="3">
        <v>46082</v>
      </c>
      <c r="C180" t="s">
        <v>73</v>
      </c>
    </row>
    <row r="181" spans="1:4" x14ac:dyDescent="0.3">
      <c r="A181" t="s">
        <v>23</v>
      </c>
      <c r="B181" s="3">
        <v>46082</v>
      </c>
      <c r="C181" t="s">
        <v>74</v>
      </c>
    </row>
    <row r="182" spans="1:4" x14ac:dyDescent="0.3">
      <c r="A182" t="s">
        <v>24</v>
      </c>
      <c r="B182" s="3">
        <v>46082</v>
      </c>
      <c r="C182" t="s">
        <v>73</v>
      </c>
    </row>
    <row r="183" spans="1:4" x14ac:dyDescent="0.3">
      <c r="A183" t="s">
        <v>25</v>
      </c>
      <c r="B183" s="3">
        <v>46082</v>
      </c>
      <c r="C183" t="s">
        <v>73</v>
      </c>
    </row>
    <row r="184" spans="1:4" x14ac:dyDescent="0.3">
      <c r="A184" t="s">
        <v>26</v>
      </c>
      <c r="B184" s="3">
        <v>46082</v>
      </c>
      <c r="C184" t="s">
        <v>73</v>
      </c>
    </row>
    <row r="185" spans="1:4" x14ac:dyDescent="0.3">
      <c r="A185" t="s">
        <v>27</v>
      </c>
      <c r="B185" s="3">
        <v>46082</v>
      </c>
      <c r="C185" t="s">
        <v>73</v>
      </c>
    </row>
    <row r="186" spans="1:4" x14ac:dyDescent="0.3">
      <c r="A186" t="s">
        <v>28</v>
      </c>
      <c r="B186" s="3">
        <v>46082</v>
      </c>
      <c r="C186" t="s">
        <v>73</v>
      </c>
    </row>
    <row r="187" spans="1:4" x14ac:dyDescent="0.3">
      <c r="A187" t="s">
        <v>29</v>
      </c>
      <c r="B187" s="3">
        <v>46082</v>
      </c>
      <c r="C187" t="s">
        <v>73</v>
      </c>
    </row>
    <row r="188" spans="1:4" x14ac:dyDescent="0.3">
      <c r="A188" t="s">
        <v>30</v>
      </c>
      <c r="B188" s="3">
        <v>46082</v>
      </c>
      <c r="C188" t="s">
        <v>73</v>
      </c>
    </row>
    <row r="189" spans="1:4" x14ac:dyDescent="0.3">
      <c r="A189" t="s">
        <v>31</v>
      </c>
      <c r="B189" s="3">
        <v>46082</v>
      </c>
      <c r="C189" t="s">
        <v>74</v>
      </c>
      <c r="D189">
        <v>438380</v>
      </c>
    </row>
    <row r="190" spans="1:4" x14ac:dyDescent="0.3">
      <c r="A190" t="s">
        <v>32</v>
      </c>
      <c r="B190" s="3">
        <v>46082</v>
      </c>
      <c r="C190" t="s">
        <v>74</v>
      </c>
      <c r="D190">
        <v>79116</v>
      </c>
    </row>
    <row r="191" spans="1:4" x14ac:dyDescent="0.3">
      <c r="A191" t="s">
        <v>33</v>
      </c>
      <c r="B191" s="3">
        <v>46082</v>
      </c>
      <c r="C191" t="s">
        <v>74</v>
      </c>
      <c r="D191">
        <v>94652</v>
      </c>
    </row>
    <row r="192" spans="1:4" x14ac:dyDescent="0.3">
      <c r="A192" t="s">
        <v>34</v>
      </c>
      <c r="B192" s="3">
        <v>46082</v>
      </c>
      <c r="C192" t="s">
        <v>74</v>
      </c>
      <c r="D192">
        <v>206957</v>
      </c>
    </row>
    <row r="193" spans="1:4" x14ac:dyDescent="0.3">
      <c r="A193" t="s">
        <v>35</v>
      </c>
      <c r="B193" s="3">
        <v>46082</v>
      </c>
      <c r="C193" t="s">
        <v>73</v>
      </c>
    </row>
    <row r="194" spans="1:4" x14ac:dyDescent="0.3">
      <c r="A194" t="s">
        <v>36</v>
      </c>
      <c r="B194" s="3">
        <v>46082</v>
      </c>
      <c r="C194" t="s">
        <v>73</v>
      </c>
    </row>
    <row r="195" spans="1:4" x14ac:dyDescent="0.3">
      <c r="A195" t="s">
        <v>37</v>
      </c>
      <c r="B195" s="3">
        <v>46082</v>
      </c>
      <c r="C195" t="s">
        <v>73</v>
      </c>
    </row>
    <row r="196" spans="1:4" x14ac:dyDescent="0.3">
      <c r="A196" t="s">
        <v>38</v>
      </c>
      <c r="B196" s="3">
        <v>46082</v>
      </c>
      <c r="C196" t="s">
        <v>74</v>
      </c>
      <c r="D196">
        <v>471289</v>
      </c>
    </row>
    <row r="197" spans="1:4" x14ac:dyDescent="0.3">
      <c r="A197" t="s">
        <v>71</v>
      </c>
      <c r="B197" s="3">
        <v>46082</v>
      </c>
      <c r="C197" t="s">
        <v>74</v>
      </c>
    </row>
    <row r="198" spans="1:4" x14ac:dyDescent="0.3">
      <c r="A198" t="s">
        <v>40</v>
      </c>
      <c r="B198" s="3">
        <v>46082</v>
      </c>
      <c r="C198" t="s">
        <v>73</v>
      </c>
    </row>
    <row r="199" spans="1:4" x14ac:dyDescent="0.3">
      <c r="A199" t="s">
        <v>41</v>
      </c>
      <c r="B199" s="3">
        <v>46082</v>
      </c>
      <c r="C199" t="s">
        <v>73</v>
      </c>
    </row>
    <row r="200" spans="1:4" x14ac:dyDescent="0.3">
      <c r="A200" t="s">
        <v>42</v>
      </c>
      <c r="B200" s="3">
        <v>46082</v>
      </c>
      <c r="C200" t="s">
        <v>73</v>
      </c>
    </row>
    <row r="201" spans="1:4" x14ac:dyDescent="0.3">
      <c r="A201" t="s">
        <v>43</v>
      </c>
      <c r="B201" s="3">
        <v>46082</v>
      </c>
      <c r="C201" t="s">
        <v>73</v>
      </c>
    </row>
    <row r="202" spans="1:4" x14ac:dyDescent="0.3">
      <c r="A202" t="s">
        <v>44</v>
      </c>
      <c r="B202" s="3">
        <v>46082</v>
      </c>
      <c r="C202" t="s">
        <v>73</v>
      </c>
    </row>
    <row r="203" spans="1:4" x14ac:dyDescent="0.3">
      <c r="A203" t="s">
        <v>45</v>
      </c>
      <c r="B203" s="3">
        <v>46082</v>
      </c>
      <c r="C203" t="s">
        <v>74</v>
      </c>
    </row>
    <row r="204" spans="1:4" x14ac:dyDescent="0.3">
      <c r="A204" t="s">
        <v>46</v>
      </c>
      <c r="B204" s="3">
        <v>46082</v>
      </c>
      <c r="C204" t="s">
        <v>74</v>
      </c>
      <c r="D204">
        <v>28472</v>
      </c>
    </row>
    <row r="205" spans="1:4" x14ac:dyDescent="0.3">
      <c r="A205" t="s">
        <v>72</v>
      </c>
      <c r="B205" s="3">
        <v>46082</v>
      </c>
      <c r="C205" t="s">
        <v>74</v>
      </c>
    </row>
    <row r="206" spans="1:4" x14ac:dyDescent="0.3">
      <c r="A206" t="s">
        <v>48</v>
      </c>
      <c r="B206" s="3">
        <v>46082</v>
      </c>
      <c r="C206" t="s">
        <v>73</v>
      </c>
    </row>
    <row r="207" spans="1:4" x14ac:dyDescent="0.3">
      <c r="A207" t="s">
        <v>49</v>
      </c>
      <c r="B207" s="3">
        <v>46082</v>
      </c>
      <c r="C207" t="s">
        <v>73</v>
      </c>
    </row>
    <row r="208" spans="1:4" x14ac:dyDescent="0.3">
      <c r="A208" t="s">
        <v>50</v>
      </c>
      <c r="B208" s="3">
        <v>46082</v>
      </c>
      <c r="C208" t="s">
        <v>73</v>
      </c>
    </row>
    <row r="209" spans="1:4" x14ac:dyDescent="0.3">
      <c r="A209" t="s">
        <v>63</v>
      </c>
      <c r="B209" s="3">
        <v>46082</v>
      </c>
      <c r="C209" t="s">
        <v>82</v>
      </c>
    </row>
    <row r="210" spans="1:4" x14ac:dyDescent="0.3">
      <c r="A210" t="s">
        <v>0</v>
      </c>
      <c r="B210" s="3">
        <v>46113</v>
      </c>
      <c r="C210" t="s">
        <v>73</v>
      </c>
    </row>
    <row r="211" spans="1:4" x14ac:dyDescent="0.3">
      <c r="A211" t="s">
        <v>1</v>
      </c>
      <c r="B211" s="3">
        <v>46113</v>
      </c>
      <c r="C211" t="s">
        <v>73</v>
      </c>
    </row>
    <row r="212" spans="1:4" x14ac:dyDescent="0.3">
      <c r="A212" t="s">
        <v>2</v>
      </c>
      <c r="B212" s="3">
        <v>46113</v>
      </c>
      <c r="C212" t="s">
        <v>73</v>
      </c>
      <c r="D212">
        <v>137309</v>
      </c>
    </row>
    <row r="213" spans="1:4" x14ac:dyDescent="0.3">
      <c r="A213" t="s">
        <v>3</v>
      </c>
      <c r="B213" s="3">
        <v>46113</v>
      </c>
      <c r="C213" t="s">
        <v>73</v>
      </c>
    </row>
    <row r="214" spans="1:4" x14ac:dyDescent="0.3">
      <c r="A214" t="s">
        <v>65</v>
      </c>
      <c r="B214" s="3">
        <v>46113</v>
      </c>
      <c r="C214" t="s">
        <v>74</v>
      </c>
    </row>
    <row r="215" spans="1:4" x14ac:dyDescent="0.3">
      <c r="A215" t="s">
        <v>66</v>
      </c>
      <c r="B215" s="3">
        <v>46113</v>
      </c>
      <c r="C215" t="s">
        <v>74</v>
      </c>
    </row>
    <row r="216" spans="1:4" x14ac:dyDescent="0.3">
      <c r="A216" t="s">
        <v>67</v>
      </c>
      <c r="B216" s="3">
        <v>46113</v>
      </c>
      <c r="C216" t="s">
        <v>74</v>
      </c>
    </row>
    <row r="217" spans="1:4" x14ac:dyDescent="0.3">
      <c r="A217" t="s">
        <v>68</v>
      </c>
      <c r="B217" s="3">
        <v>46113</v>
      </c>
      <c r="C217" t="s">
        <v>74</v>
      </c>
    </row>
    <row r="218" spans="1:4" x14ac:dyDescent="0.3">
      <c r="A218" t="s">
        <v>8</v>
      </c>
      <c r="B218" s="3">
        <v>46113</v>
      </c>
      <c r="C218" t="s">
        <v>73</v>
      </c>
    </row>
    <row r="219" spans="1:4" x14ac:dyDescent="0.3">
      <c r="A219" t="s">
        <v>9</v>
      </c>
      <c r="B219" s="3">
        <v>46113</v>
      </c>
      <c r="C219" t="s">
        <v>73</v>
      </c>
    </row>
    <row r="220" spans="1:4" x14ac:dyDescent="0.3">
      <c r="A220" t="s">
        <v>10</v>
      </c>
      <c r="B220" s="3">
        <v>46113</v>
      </c>
      <c r="C220" t="s">
        <v>74</v>
      </c>
      <c r="D220">
        <v>950000</v>
      </c>
    </row>
    <row r="221" spans="1:4" x14ac:dyDescent="0.3">
      <c r="A221" t="s">
        <v>11</v>
      </c>
      <c r="B221" s="3">
        <v>46113</v>
      </c>
      <c r="C221" t="s">
        <v>73</v>
      </c>
    </row>
    <row r="222" spans="1:4" x14ac:dyDescent="0.3">
      <c r="A222" t="s">
        <v>12</v>
      </c>
      <c r="B222" s="3">
        <v>46113</v>
      </c>
      <c r="C222" t="s">
        <v>73</v>
      </c>
    </row>
    <row r="223" spans="1:4" x14ac:dyDescent="0.3">
      <c r="A223" t="s">
        <v>69</v>
      </c>
      <c r="B223" s="3">
        <v>46113</v>
      </c>
      <c r="C223" t="s">
        <v>74</v>
      </c>
    </row>
    <row r="224" spans="1:4" x14ac:dyDescent="0.3">
      <c r="A224" t="s">
        <v>14</v>
      </c>
      <c r="B224" s="3">
        <v>46113</v>
      </c>
      <c r="C224" t="s">
        <v>74</v>
      </c>
      <c r="D224">
        <v>373327</v>
      </c>
    </row>
    <row r="225" spans="1:4" x14ac:dyDescent="0.3">
      <c r="A225" t="s">
        <v>15</v>
      </c>
      <c r="B225" s="3">
        <v>46113</v>
      </c>
      <c r="C225" t="s">
        <v>73</v>
      </c>
    </row>
    <row r="226" spans="1:4" x14ac:dyDescent="0.3">
      <c r="A226" t="s">
        <v>16</v>
      </c>
      <c r="B226" s="3">
        <v>46113</v>
      </c>
      <c r="C226" t="s">
        <v>73</v>
      </c>
    </row>
    <row r="227" spans="1:4" x14ac:dyDescent="0.3">
      <c r="A227" t="s">
        <v>17</v>
      </c>
      <c r="B227" s="3">
        <v>46113</v>
      </c>
      <c r="C227" t="s">
        <v>74</v>
      </c>
    </row>
    <row r="228" spans="1:4" x14ac:dyDescent="0.3">
      <c r="A228" t="s">
        <v>18</v>
      </c>
      <c r="B228" s="3">
        <v>46113</v>
      </c>
      <c r="C228" t="s">
        <v>73</v>
      </c>
    </row>
    <row r="229" spans="1:4" x14ac:dyDescent="0.3">
      <c r="A229" t="s">
        <v>70</v>
      </c>
      <c r="B229" s="3">
        <v>46113</v>
      </c>
      <c r="C229" t="s">
        <v>74</v>
      </c>
      <c r="D229">
        <v>347353</v>
      </c>
    </row>
    <row r="230" spans="1:4" x14ac:dyDescent="0.3">
      <c r="A230" t="s">
        <v>20</v>
      </c>
      <c r="B230" s="3">
        <v>46113</v>
      </c>
      <c r="C230" t="s">
        <v>74</v>
      </c>
      <c r="D230">
        <v>221488</v>
      </c>
    </row>
    <row r="231" spans="1:4" x14ac:dyDescent="0.3">
      <c r="A231" t="s">
        <v>21</v>
      </c>
      <c r="B231" s="3">
        <v>46113</v>
      </c>
      <c r="C231" t="s">
        <v>74</v>
      </c>
    </row>
    <row r="232" spans="1:4" x14ac:dyDescent="0.3">
      <c r="A232" t="s">
        <v>22</v>
      </c>
      <c r="B232" s="3">
        <v>46113</v>
      </c>
      <c r="C232" t="s">
        <v>73</v>
      </c>
    </row>
    <row r="233" spans="1:4" x14ac:dyDescent="0.3">
      <c r="A233" t="s">
        <v>23</v>
      </c>
      <c r="B233" s="3">
        <v>46113</v>
      </c>
      <c r="C233" t="s">
        <v>74</v>
      </c>
    </row>
    <row r="234" spans="1:4" x14ac:dyDescent="0.3">
      <c r="A234" t="s">
        <v>24</v>
      </c>
      <c r="B234" s="3">
        <v>46113</v>
      </c>
      <c r="C234" t="s">
        <v>73</v>
      </c>
    </row>
    <row r="235" spans="1:4" x14ac:dyDescent="0.3">
      <c r="A235" t="s">
        <v>25</v>
      </c>
      <c r="B235" s="3">
        <v>46113</v>
      </c>
      <c r="C235" t="s">
        <v>73</v>
      </c>
    </row>
    <row r="236" spans="1:4" x14ac:dyDescent="0.3">
      <c r="A236" t="s">
        <v>26</v>
      </c>
      <c r="B236" s="3">
        <v>46113</v>
      </c>
      <c r="C236" t="s">
        <v>73</v>
      </c>
    </row>
    <row r="237" spans="1:4" x14ac:dyDescent="0.3">
      <c r="A237" t="s">
        <v>27</v>
      </c>
      <c r="B237" s="3">
        <v>46113</v>
      </c>
      <c r="C237" t="s">
        <v>73</v>
      </c>
    </row>
    <row r="238" spans="1:4" x14ac:dyDescent="0.3">
      <c r="A238" t="s">
        <v>28</v>
      </c>
      <c r="B238" s="3">
        <v>46113</v>
      </c>
      <c r="C238" t="s">
        <v>73</v>
      </c>
    </row>
    <row r="239" spans="1:4" x14ac:dyDescent="0.3">
      <c r="A239" t="s">
        <v>29</v>
      </c>
      <c r="B239" s="3">
        <v>46113</v>
      </c>
      <c r="C239" t="s">
        <v>73</v>
      </c>
    </row>
    <row r="240" spans="1:4" x14ac:dyDescent="0.3">
      <c r="A240" t="s">
        <v>30</v>
      </c>
      <c r="B240" s="3">
        <v>46113</v>
      </c>
      <c r="C240" t="s">
        <v>73</v>
      </c>
    </row>
    <row r="241" spans="1:4" x14ac:dyDescent="0.3">
      <c r="A241" t="s">
        <v>31</v>
      </c>
      <c r="B241" s="3">
        <v>46113</v>
      </c>
      <c r="C241" t="s">
        <v>74</v>
      </c>
      <c r="D241">
        <v>440362</v>
      </c>
    </row>
    <row r="242" spans="1:4" x14ac:dyDescent="0.3">
      <c r="A242" t="s">
        <v>32</v>
      </c>
      <c r="B242" s="3">
        <v>46113</v>
      </c>
      <c r="C242" t="s">
        <v>74</v>
      </c>
      <c r="D242">
        <v>76279</v>
      </c>
    </row>
    <row r="243" spans="1:4" x14ac:dyDescent="0.3">
      <c r="A243" t="s">
        <v>33</v>
      </c>
      <c r="B243" s="3">
        <v>46113</v>
      </c>
      <c r="C243" t="s">
        <v>74</v>
      </c>
      <c r="D243">
        <v>93487</v>
      </c>
    </row>
    <row r="244" spans="1:4" x14ac:dyDescent="0.3">
      <c r="A244" t="s">
        <v>34</v>
      </c>
      <c r="B244" s="3">
        <v>46113</v>
      </c>
      <c r="C244" t="s">
        <v>74</v>
      </c>
      <c r="D244">
        <v>202548</v>
      </c>
    </row>
    <row r="245" spans="1:4" x14ac:dyDescent="0.3">
      <c r="A245" t="s">
        <v>35</v>
      </c>
      <c r="B245" s="3">
        <v>46113</v>
      </c>
      <c r="C245" t="s">
        <v>73</v>
      </c>
    </row>
    <row r="246" spans="1:4" x14ac:dyDescent="0.3">
      <c r="A246" t="s">
        <v>36</v>
      </c>
      <c r="B246" s="3">
        <v>46113</v>
      </c>
      <c r="C246" t="s">
        <v>73</v>
      </c>
    </row>
    <row r="247" spans="1:4" x14ac:dyDescent="0.3">
      <c r="A247" t="s">
        <v>37</v>
      </c>
      <c r="B247" s="3">
        <v>46113</v>
      </c>
      <c r="C247" t="s">
        <v>73</v>
      </c>
    </row>
    <row r="248" spans="1:4" x14ac:dyDescent="0.3">
      <c r="A248" t="s">
        <v>38</v>
      </c>
      <c r="B248" s="3">
        <v>46113</v>
      </c>
      <c r="C248" t="s">
        <v>74</v>
      </c>
      <c r="D248">
        <v>462751</v>
      </c>
    </row>
    <row r="249" spans="1:4" x14ac:dyDescent="0.3">
      <c r="A249" t="s">
        <v>71</v>
      </c>
      <c r="B249" s="3">
        <v>46113</v>
      </c>
      <c r="C249" t="s">
        <v>74</v>
      </c>
    </row>
    <row r="250" spans="1:4" x14ac:dyDescent="0.3">
      <c r="A250" t="s">
        <v>40</v>
      </c>
      <c r="B250" s="3">
        <v>46113</v>
      </c>
      <c r="C250" t="s">
        <v>73</v>
      </c>
    </row>
    <row r="251" spans="1:4" x14ac:dyDescent="0.3">
      <c r="A251" t="s">
        <v>41</v>
      </c>
      <c r="B251" s="3">
        <v>46113</v>
      </c>
      <c r="C251" t="s">
        <v>73</v>
      </c>
    </row>
    <row r="252" spans="1:4" x14ac:dyDescent="0.3">
      <c r="A252" t="s">
        <v>42</v>
      </c>
      <c r="B252" s="3">
        <v>46113</v>
      </c>
      <c r="C252" t="s">
        <v>73</v>
      </c>
    </row>
    <row r="253" spans="1:4" x14ac:dyDescent="0.3">
      <c r="A253" t="s">
        <v>43</v>
      </c>
      <c r="B253" s="3">
        <v>46113</v>
      </c>
      <c r="C253" t="s">
        <v>73</v>
      </c>
    </row>
    <row r="254" spans="1:4" x14ac:dyDescent="0.3">
      <c r="A254" t="s">
        <v>44</v>
      </c>
      <c r="B254" s="3">
        <v>46113</v>
      </c>
      <c r="C254" t="s">
        <v>73</v>
      </c>
    </row>
    <row r="255" spans="1:4" x14ac:dyDescent="0.3">
      <c r="A255" t="s">
        <v>45</v>
      </c>
      <c r="B255" s="3">
        <v>46113</v>
      </c>
      <c r="C255" t="s">
        <v>74</v>
      </c>
    </row>
    <row r="256" spans="1:4" x14ac:dyDescent="0.3">
      <c r="A256" t="s">
        <v>46</v>
      </c>
      <c r="B256" s="3">
        <v>46113</v>
      </c>
      <c r="C256" t="s">
        <v>74</v>
      </c>
      <c r="D256">
        <v>28535</v>
      </c>
    </row>
    <row r="257" spans="1:4" x14ac:dyDescent="0.3">
      <c r="A257" t="s">
        <v>72</v>
      </c>
      <c r="B257" s="3">
        <v>46113</v>
      </c>
      <c r="C257" t="s">
        <v>74</v>
      </c>
    </row>
    <row r="258" spans="1:4" x14ac:dyDescent="0.3">
      <c r="A258" t="s">
        <v>48</v>
      </c>
      <c r="B258" s="3">
        <v>46113</v>
      </c>
      <c r="C258" t="s">
        <v>73</v>
      </c>
    </row>
    <row r="259" spans="1:4" x14ac:dyDescent="0.3">
      <c r="A259" t="s">
        <v>49</v>
      </c>
      <c r="B259" s="3">
        <v>46113</v>
      </c>
      <c r="C259" t="s">
        <v>73</v>
      </c>
    </row>
    <row r="260" spans="1:4" x14ac:dyDescent="0.3">
      <c r="A260" t="s">
        <v>50</v>
      </c>
      <c r="B260" s="3">
        <v>46113</v>
      </c>
      <c r="C260" t="s">
        <v>73</v>
      </c>
    </row>
    <row r="261" spans="1:4" x14ac:dyDescent="0.3">
      <c r="A261" t="s">
        <v>63</v>
      </c>
      <c r="B261" s="3">
        <v>46113</v>
      </c>
      <c r="C261" t="s">
        <v>82</v>
      </c>
      <c r="D261" s="7">
        <v>19200000</v>
      </c>
    </row>
    <row r="262" spans="1:4" x14ac:dyDescent="0.3">
      <c r="A262" t="s">
        <v>0</v>
      </c>
      <c r="B262" s="3">
        <v>46143</v>
      </c>
      <c r="C262" t="s">
        <v>73</v>
      </c>
    </row>
    <row r="263" spans="1:4" x14ac:dyDescent="0.3">
      <c r="A263" t="s">
        <v>1</v>
      </c>
      <c r="B263" s="3">
        <v>46143</v>
      </c>
      <c r="C263" t="s">
        <v>73</v>
      </c>
    </row>
    <row r="264" spans="1:4" x14ac:dyDescent="0.3">
      <c r="A264" t="s">
        <v>2</v>
      </c>
      <c r="B264" s="3">
        <v>46143</v>
      </c>
      <c r="C264" t="s">
        <v>73</v>
      </c>
      <c r="D264">
        <v>138440</v>
      </c>
    </row>
    <row r="265" spans="1:4" x14ac:dyDescent="0.3">
      <c r="A265" t="s">
        <v>3</v>
      </c>
      <c r="B265" s="3">
        <v>46143</v>
      </c>
      <c r="C265" t="s">
        <v>73</v>
      </c>
    </row>
    <row r="266" spans="1:4" x14ac:dyDescent="0.3">
      <c r="A266" t="s">
        <v>65</v>
      </c>
      <c r="B266" s="3">
        <v>46143</v>
      </c>
      <c r="C266" t="s">
        <v>74</v>
      </c>
    </row>
    <row r="267" spans="1:4" x14ac:dyDescent="0.3">
      <c r="A267" t="s">
        <v>66</v>
      </c>
      <c r="B267" s="3">
        <v>46143</v>
      </c>
      <c r="C267" t="s">
        <v>74</v>
      </c>
    </row>
    <row r="268" spans="1:4" x14ac:dyDescent="0.3">
      <c r="A268" t="s">
        <v>67</v>
      </c>
      <c r="B268" s="3">
        <v>46143</v>
      </c>
      <c r="C268" t="s">
        <v>74</v>
      </c>
    </row>
    <row r="269" spans="1:4" x14ac:dyDescent="0.3">
      <c r="A269" t="s">
        <v>68</v>
      </c>
      <c r="B269" s="3">
        <v>46143</v>
      </c>
      <c r="C269" t="s">
        <v>74</v>
      </c>
    </row>
    <row r="270" spans="1:4" x14ac:dyDescent="0.3">
      <c r="A270" t="s">
        <v>8</v>
      </c>
      <c r="B270" s="3">
        <v>46143</v>
      </c>
      <c r="C270" t="s">
        <v>73</v>
      </c>
    </row>
    <row r="271" spans="1:4" x14ac:dyDescent="0.3">
      <c r="A271" t="s">
        <v>9</v>
      </c>
      <c r="B271" s="3">
        <v>46143</v>
      </c>
      <c r="C271" t="s">
        <v>73</v>
      </c>
    </row>
    <row r="272" spans="1:4" x14ac:dyDescent="0.3">
      <c r="A272" t="s">
        <v>10</v>
      </c>
      <c r="B272" s="3">
        <v>46143</v>
      </c>
      <c r="C272" t="s">
        <v>74</v>
      </c>
    </row>
    <row r="273" spans="1:4" x14ac:dyDescent="0.3">
      <c r="A273" t="s">
        <v>11</v>
      </c>
      <c r="B273" s="3">
        <v>46143</v>
      </c>
      <c r="C273" t="s">
        <v>73</v>
      </c>
    </row>
    <row r="274" spans="1:4" x14ac:dyDescent="0.3">
      <c r="A274" t="s">
        <v>12</v>
      </c>
      <c r="B274" s="3">
        <v>46143</v>
      </c>
      <c r="C274" t="s">
        <v>73</v>
      </c>
    </row>
    <row r="275" spans="1:4" x14ac:dyDescent="0.3">
      <c r="A275" t="s">
        <v>69</v>
      </c>
      <c r="B275" s="3">
        <v>46143</v>
      </c>
      <c r="C275" t="s">
        <v>74</v>
      </c>
    </row>
    <row r="276" spans="1:4" x14ac:dyDescent="0.3">
      <c r="A276" t="s">
        <v>14</v>
      </c>
      <c r="B276" s="3">
        <v>46143</v>
      </c>
      <c r="C276" t="s">
        <v>74</v>
      </c>
      <c r="D276">
        <v>373065</v>
      </c>
    </row>
    <row r="277" spans="1:4" x14ac:dyDescent="0.3">
      <c r="A277" t="s">
        <v>15</v>
      </c>
      <c r="B277" s="3">
        <v>46143</v>
      </c>
      <c r="C277" t="s">
        <v>73</v>
      </c>
    </row>
    <row r="278" spans="1:4" x14ac:dyDescent="0.3">
      <c r="A278" t="s">
        <v>16</v>
      </c>
      <c r="B278" s="3">
        <v>46143</v>
      </c>
      <c r="C278" t="s">
        <v>73</v>
      </c>
    </row>
    <row r="279" spans="1:4" x14ac:dyDescent="0.3">
      <c r="A279" t="s">
        <v>17</v>
      </c>
      <c r="B279" s="3">
        <v>46143</v>
      </c>
      <c r="C279" t="s">
        <v>74</v>
      </c>
    </row>
    <row r="280" spans="1:4" x14ac:dyDescent="0.3">
      <c r="A280" t="s">
        <v>18</v>
      </c>
      <c r="B280" s="3">
        <v>46143</v>
      </c>
      <c r="C280" t="s">
        <v>73</v>
      </c>
    </row>
    <row r="281" spans="1:4" x14ac:dyDescent="0.3">
      <c r="A281" t="s">
        <v>70</v>
      </c>
      <c r="B281" s="3">
        <v>46143</v>
      </c>
      <c r="C281" t="s">
        <v>74</v>
      </c>
    </row>
    <row r="282" spans="1:4" x14ac:dyDescent="0.3">
      <c r="A282" t="s">
        <v>20</v>
      </c>
      <c r="B282" s="3">
        <v>46143</v>
      </c>
      <c r="C282" t="s">
        <v>74</v>
      </c>
    </row>
    <row r="283" spans="1:4" x14ac:dyDescent="0.3">
      <c r="A283" t="s">
        <v>21</v>
      </c>
      <c r="B283" s="3">
        <v>46143</v>
      </c>
      <c r="C283" t="s">
        <v>74</v>
      </c>
    </row>
    <row r="284" spans="1:4" x14ac:dyDescent="0.3">
      <c r="A284" t="s">
        <v>22</v>
      </c>
      <c r="B284" s="3">
        <v>46143</v>
      </c>
      <c r="C284" t="s">
        <v>73</v>
      </c>
    </row>
    <row r="285" spans="1:4" x14ac:dyDescent="0.3">
      <c r="A285" t="s">
        <v>23</v>
      </c>
      <c r="B285" s="3">
        <v>46143</v>
      </c>
      <c r="C285" t="s">
        <v>74</v>
      </c>
    </row>
    <row r="286" spans="1:4" x14ac:dyDescent="0.3">
      <c r="A286" t="s">
        <v>24</v>
      </c>
      <c r="B286" s="3">
        <v>46143</v>
      </c>
      <c r="C286" t="s">
        <v>73</v>
      </c>
    </row>
    <row r="287" spans="1:4" x14ac:dyDescent="0.3">
      <c r="A287" t="s">
        <v>25</v>
      </c>
      <c r="B287" s="3">
        <v>46143</v>
      </c>
      <c r="C287" t="s">
        <v>73</v>
      </c>
    </row>
    <row r="288" spans="1:4" x14ac:dyDescent="0.3">
      <c r="A288" t="s">
        <v>26</v>
      </c>
      <c r="B288" s="3">
        <v>46143</v>
      </c>
      <c r="C288" t="s">
        <v>73</v>
      </c>
    </row>
    <row r="289" spans="1:4" x14ac:dyDescent="0.3">
      <c r="A289" t="s">
        <v>27</v>
      </c>
      <c r="B289" s="3">
        <v>46143</v>
      </c>
      <c r="C289" t="s">
        <v>73</v>
      </c>
    </row>
    <row r="290" spans="1:4" x14ac:dyDescent="0.3">
      <c r="A290" t="s">
        <v>28</v>
      </c>
      <c r="B290" s="3">
        <v>46143</v>
      </c>
      <c r="C290" t="s">
        <v>73</v>
      </c>
    </row>
    <row r="291" spans="1:4" x14ac:dyDescent="0.3">
      <c r="A291" t="s">
        <v>29</v>
      </c>
      <c r="B291" s="3">
        <v>46143</v>
      </c>
      <c r="C291" t="s">
        <v>73</v>
      </c>
    </row>
    <row r="292" spans="1:4" x14ac:dyDescent="0.3">
      <c r="A292" t="s">
        <v>30</v>
      </c>
      <c r="B292" s="3">
        <v>46143</v>
      </c>
      <c r="C292" t="s">
        <v>73</v>
      </c>
    </row>
    <row r="293" spans="1:4" x14ac:dyDescent="0.3">
      <c r="A293" t="s">
        <v>31</v>
      </c>
      <c r="B293" s="3">
        <v>46143</v>
      </c>
      <c r="C293" t="s">
        <v>74</v>
      </c>
    </row>
    <row r="294" spans="1:4" x14ac:dyDescent="0.3">
      <c r="A294" t="s">
        <v>32</v>
      </c>
      <c r="B294" s="3">
        <v>46143</v>
      </c>
      <c r="C294" t="s">
        <v>74</v>
      </c>
      <c r="D294">
        <v>76433</v>
      </c>
    </row>
    <row r="295" spans="1:4" x14ac:dyDescent="0.3">
      <c r="A295" t="s">
        <v>33</v>
      </c>
      <c r="B295" s="3">
        <v>46143</v>
      </c>
      <c r="C295" t="s">
        <v>74</v>
      </c>
      <c r="D295">
        <v>92271</v>
      </c>
    </row>
    <row r="296" spans="1:4" x14ac:dyDescent="0.3">
      <c r="A296" t="s">
        <v>34</v>
      </c>
      <c r="B296" s="3">
        <v>46143</v>
      </c>
      <c r="C296" t="s">
        <v>74</v>
      </c>
      <c r="D296">
        <v>202757</v>
      </c>
    </row>
    <row r="297" spans="1:4" x14ac:dyDescent="0.3">
      <c r="A297" t="s">
        <v>35</v>
      </c>
      <c r="B297" s="3">
        <v>46143</v>
      </c>
      <c r="C297" t="s">
        <v>73</v>
      </c>
    </row>
    <row r="298" spans="1:4" x14ac:dyDescent="0.3">
      <c r="A298" t="s">
        <v>36</v>
      </c>
      <c r="B298" s="3">
        <v>46143</v>
      </c>
      <c r="C298" t="s">
        <v>73</v>
      </c>
    </row>
    <row r="299" spans="1:4" x14ac:dyDescent="0.3">
      <c r="A299" t="s">
        <v>37</v>
      </c>
      <c r="B299" s="3">
        <v>46143</v>
      </c>
      <c r="C299" t="s">
        <v>73</v>
      </c>
    </row>
    <row r="300" spans="1:4" x14ac:dyDescent="0.3">
      <c r="A300" t="s">
        <v>38</v>
      </c>
      <c r="B300" s="3">
        <v>46143</v>
      </c>
      <c r="C300" t="s">
        <v>74</v>
      </c>
      <c r="D300">
        <v>452525</v>
      </c>
    </row>
    <row r="301" spans="1:4" x14ac:dyDescent="0.3">
      <c r="A301" t="s">
        <v>71</v>
      </c>
      <c r="B301" s="3">
        <v>46143</v>
      </c>
      <c r="C301" t="s">
        <v>74</v>
      </c>
    </row>
    <row r="302" spans="1:4" x14ac:dyDescent="0.3">
      <c r="A302" t="s">
        <v>40</v>
      </c>
      <c r="B302" s="3">
        <v>46143</v>
      </c>
      <c r="C302" t="s">
        <v>73</v>
      </c>
    </row>
    <row r="303" spans="1:4" x14ac:dyDescent="0.3">
      <c r="A303" t="s">
        <v>41</v>
      </c>
      <c r="B303" s="3">
        <v>46143</v>
      </c>
      <c r="C303" t="s">
        <v>73</v>
      </c>
    </row>
    <row r="304" spans="1:4" x14ac:dyDescent="0.3">
      <c r="A304" t="s">
        <v>42</v>
      </c>
      <c r="B304" s="3">
        <v>46143</v>
      </c>
      <c r="C304" t="s">
        <v>73</v>
      </c>
    </row>
    <row r="305" spans="1:3" x14ac:dyDescent="0.3">
      <c r="A305" t="s">
        <v>43</v>
      </c>
      <c r="B305" s="3">
        <v>46143</v>
      </c>
      <c r="C305" t="s">
        <v>73</v>
      </c>
    </row>
    <row r="306" spans="1:3" x14ac:dyDescent="0.3">
      <c r="A306" t="s">
        <v>44</v>
      </c>
      <c r="B306" s="3">
        <v>46143</v>
      </c>
      <c r="C306" t="s">
        <v>73</v>
      </c>
    </row>
    <row r="307" spans="1:3" x14ac:dyDescent="0.3">
      <c r="A307" t="s">
        <v>45</v>
      </c>
      <c r="B307" s="3">
        <v>46143</v>
      </c>
      <c r="C307" t="s">
        <v>74</v>
      </c>
    </row>
    <row r="308" spans="1:3" x14ac:dyDescent="0.3">
      <c r="A308" t="s">
        <v>46</v>
      </c>
      <c r="B308" s="3">
        <v>46143</v>
      </c>
      <c r="C308" t="s">
        <v>74</v>
      </c>
    </row>
    <row r="309" spans="1:3" x14ac:dyDescent="0.3">
      <c r="A309" t="s">
        <v>72</v>
      </c>
      <c r="B309" s="3">
        <v>46143</v>
      </c>
      <c r="C309" t="s">
        <v>74</v>
      </c>
    </row>
    <row r="310" spans="1:3" x14ac:dyDescent="0.3">
      <c r="A310" t="s">
        <v>48</v>
      </c>
      <c r="B310" s="3">
        <v>46143</v>
      </c>
      <c r="C310" t="s">
        <v>73</v>
      </c>
    </row>
    <row r="311" spans="1:3" x14ac:dyDescent="0.3">
      <c r="A311" t="s">
        <v>49</v>
      </c>
      <c r="B311" s="3">
        <v>46143</v>
      </c>
      <c r="C311" t="s">
        <v>73</v>
      </c>
    </row>
    <row r="312" spans="1:3" x14ac:dyDescent="0.3">
      <c r="A312" t="s">
        <v>50</v>
      </c>
      <c r="B312" s="3">
        <v>46143</v>
      </c>
      <c r="C312" t="s">
        <v>73</v>
      </c>
    </row>
    <row r="313" spans="1:3" x14ac:dyDescent="0.3">
      <c r="A313" t="s">
        <v>63</v>
      </c>
      <c r="B313" s="3">
        <v>46143</v>
      </c>
      <c r="C313" t="s">
        <v>82</v>
      </c>
    </row>
  </sheetData>
  <autoFilter ref="A1:A313" xr:uid="{F500077B-CC04-42DE-B4CB-18359DAB49B8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C6405-B94F-4AB6-9B77-14A04AE8F552}">
  <dimension ref="A1:R469"/>
  <sheetViews>
    <sheetView zoomScaleNormal="100" workbookViewId="0">
      <selection activeCell="D451" sqref="D451"/>
    </sheetView>
  </sheetViews>
  <sheetFormatPr defaultRowHeight="14.4" x14ac:dyDescent="0.3"/>
  <cols>
    <col min="1" max="1" width="19.44140625" customWidth="1"/>
    <col min="2" max="2" width="16.33203125" bestFit="1" customWidth="1"/>
    <col min="3" max="3" width="8.6640625" bestFit="1" customWidth="1"/>
    <col min="4" max="4" width="52" bestFit="1" customWidth="1"/>
    <col min="5" max="5" width="16" bestFit="1" customWidth="1"/>
    <col min="6" max="6" width="17.88671875" bestFit="1" customWidth="1"/>
    <col min="7" max="7" width="19" bestFit="1" customWidth="1"/>
    <col min="8" max="8" width="22.6640625" bestFit="1" customWidth="1"/>
    <col min="9" max="9" width="17.88671875" bestFit="1" customWidth="1"/>
    <col min="10" max="10" width="28" bestFit="1" customWidth="1"/>
    <col min="11" max="11" width="21.109375" bestFit="1" customWidth="1"/>
    <col min="12" max="12" width="46.33203125" bestFit="1" customWidth="1"/>
    <col min="13" max="13" width="60.88671875" bestFit="1" customWidth="1"/>
    <col min="14" max="14" width="12.5546875" bestFit="1" customWidth="1"/>
    <col min="15" max="17" width="10.5546875" bestFit="1" customWidth="1"/>
    <col min="18" max="18" width="9" bestFit="1" customWidth="1"/>
  </cols>
  <sheetData>
    <row r="1" spans="1:18" s="1" customFormat="1" x14ac:dyDescent="0.3">
      <c r="A1" s="1" t="s">
        <v>51</v>
      </c>
      <c r="B1" s="1" t="s">
        <v>52</v>
      </c>
      <c r="C1" s="1" t="s">
        <v>64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</row>
    <row r="2" spans="1:18" x14ac:dyDescent="0.3">
      <c r="A2" t="s">
        <v>0</v>
      </c>
      <c r="B2" s="3" t="s">
        <v>91</v>
      </c>
      <c r="C2" t="s">
        <v>73</v>
      </c>
      <c r="D2" s="2">
        <v>26079</v>
      </c>
      <c r="E2" s="2">
        <v>4584</v>
      </c>
      <c r="F2" s="2">
        <v>21495</v>
      </c>
      <c r="G2" s="2">
        <v>15845</v>
      </c>
      <c r="H2" s="2">
        <v>5650</v>
      </c>
      <c r="I2" s="5">
        <v>1043</v>
      </c>
      <c r="J2" s="5">
        <v>344</v>
      </c>
      <c r="K2">
        <v>19249</v>
      </c>
      <c r="L2" s="5">
        <v>947</v>
      </c>
      <c r="M2" s="5">
        <v>114</v>
      </c>
      <c r="N2" s="2" t="s">
        <v>82</v>
      </c>
      <c r="O2" s="2">
        <v>12441</v>
      </c>
      <c r="P2" s="2">
        <v>2618</v>
      </c>
      <c r="Q2" s="2">
        <v>11020</v>
      </c>
      <c r="R2" s="2" t="s">
        <v>82</v>
      </c>
    </row>
    <row r="3" spans="1:18" x14ac:dyDescent="0.3">
      <c r="A3" t="s">
        <v>1</v>
      </c>
      <c r="B3" s="3" t="s">
        <v>91</v>
      </c>
      <c r="C3" t="s">
        <v>73</v>
      </c>
      <c r="D3" s="2">
        <v>455776</v>
      </c>
      <c r="E3" s="2">
        <v>60346</v>
      </c>
      <c r="F3" s="2">
        <v>395430</v>
      </c>
      <c r="G3" s="2">
        <v>193074</v>
      </c>
      <c r="H3" s="2">
        <v>202356</v>
      </c>
      <c r="I3" s="5">
        <v>743</v>
      </c>
      <c r="J3" s="5">
        <v>126</v>
      </c>
      <c r="K3">
        <v>415172</v>
      </c>
      <c r="L3" s="5">
        <v>678</v>
      </c>
      <c r="M3" s="5">
        <v>70</v>
      </c>
      <c r="N3" s="2">
        <v>1718</v>
      </c>
      <c r="O3" s="2">
        <v>198749</v>
      </c>
      <c r="P3" s="2">
        <v>248467</v>
      </c>
      <c r="Q3" s="2">
        <v>6842</v>
      </c>
      <c r="R3" s="2" t="s">
        <v>82</v>
      </c>
    </row>
    <row r="4" spans="1:18" x14ac:dyDescent="0.3">
      <c r="A4" t="s">
        <v>2</v>
      </c>
      <c r="B4" s="3" t="s">
        <v>91</v>
      </c>
      <c r="C4" t="s">
        <v>73</v>
      </c>
      <c r="D4" s="2">
        <v>160307</v>
      </c>
      <c r="E4" s="2">
        <v>29746</v>
      </c>
      <c r="F4" s="2">
        <v>130561</v>
      </c>
      <c r="G4" s="2">
        <v>76556</v>
      </c>
      <c r="H4" s="2">
        <v>54005</v>
      </c>
      <c r="I4" s="5">
        <v>839</v>
      </c>
      <c r="J4" s="5">
        <v>162</v>
      </c>
      <c r="K4">
        <v>139372</v>
      </c>
      <c r="L4" s="5">
        <v>779</v>
      </c>
      <c r="M4" s="5">
        <v>79</v>
      </c>
      <c r="N4" s="2">
        <v>1217</v>
      </c>
      <c r="O4" s="2">
        <v>52071</v>
      </c>
      <c r="P4" s="2">
        <v>55449</v>
      </c>
      <c r="Q4" s="2">
        <v>50562</v>
      </c>
      <c r="R4" s="2">
        <v>1008</v>
      </c>
    </row>
    <row r="5" spans="1:18" x14ac:dyDescent="0.3">
      <c r="A5" t="s">
        <v>3</v>
      </c>
      <c r="B5" s="3" t="s">
        <v>91</v>
      </c>
      <c r="C5" t="s">
        <v>73</v>
      </c>
      <c r="D5" s="2">
        <v>357144</v>
      </c>
      <c r="E5" s="2">
        <v>56742</v>
      </c>
      <c r="F5" s="2">
        <v>300402</v>
      </c>
      <c r="G5" s="2">
        <v>172889</v>
      </c>
      <c r="H5" s="2">
        <v>127513</v>
      </c>
      <c r="I5" s="5">
        <v>688</v>
      </c>
      <c r="J5" s="5">
        <v>229</v>
      </c>
      <c r="K5">
        <v>295299</v>
      </c>
      <c r="L5" s="5">
        <v>555</v>
      </c>
      <c r="M5" s="5">
        <v>133</v>
      </c>
      <c r="N5" s="2">
        <v>737</v>
      </c>
      <c r="O5" s="2">
        <v>200376</v>
      </c>
      <c r="P5" s="2">
        <v>142749</v>
      </c>
      <c r="Q5" s="2">
        <v>13282</v>
      </c>
      <c r="R5" s="2" t="s">
        <v>82</v>
      </c>
    </row>
    <row r="6" spans="1:18" x14ac:dyDescent="0.3">
      <c r="A6" t="s">
        <v>65</v>
      </c>
      <c r="B6" s="3" t="s">
        <v>91</v>
      </c>
      <c r="C6" t="s">
        <v>74</v>
      </c>
      <c r="D6" s="2">
        <v>1927371</v>
      </c>
      <c r="E6" s="2">
        <v>235055</v>
      </c>
      <c r="F6" s="2">
        <v>1692316</v>
      </c>
      <c r="G6" s="2">
        <v>538476</v>
      </c>
      <c r="H6" s="2">
        <v>1153840</v>
      </c>
      <c r="I6" s="5">
        <v>737</v>
      </c>
      <c r="J6" s="5">
        <v>264</v>
      </c>
      <c r="K6">
        <v>1577627</v>
      </c>
      <c r="L6" s="5">
        <v>579</v>
      </c>
      <c r="M6" s="5">
        <v>165</v>
      </c>
      <c r="N6" s="2">
        <v>15592</v>
      </c>
      <c r="O6" s="2">
        <v>564476</v>
      </c>
      <c r="P6" s="2">
        <v>1181687</v>
      </c>
      <c r="Q6" s="2">
        <v>107896</v>
      </c>
      <c r="R6" s="2">
        <v>57720</v>
      </c>
    </row>
    <row r="7" spans="1:18" x14ac:dyDescent="0.3">
      <c r="A7" t="s">
        <v>66</v>
      </c>
      <c r="B7" s="3" t="s">
        <v>91</v>
      </c>
      <c r="C7" t="s">
        <v>74</v>
      </c>
      <c r="D7" s="2">
        <v>277238</v>
      </c>
      <c r="E7" s="2">
        <v>37335</v>
      </c>
      <c r="F7" s="2">
        <v>239903</v>
      </c>
      <c r="G7" s="2">
        <v>146249</v>
      </c>
      <c r="H7" s="2">
        <v>93654</v>
      </c>
      <c r="I7" s="5">
        <v>673</v>
      </c>
      <c r="J7" s="5">
        <v>318</v>
      </c>
      <c r="K7">
        <v>191153</v>
      </c>
      <c r="L7" s="5">
        <v>511</v>
      </c>
      <c r="M7" s="5">
        <v>187</v>
      </c>
      <c r="N7" s="2">
        <v>1375</v>
      </c>
      <c r="O7" s="2">
        <v>106571</v>
      </c>
      <c r="P7" s="2">
        <v>80695</v>
      </c>
      <c r="Q7" s="2">
        <v>88597</v>
      </c>
      <c r="R7" s="2" t="s">
        <v>82</v>
      </c>
    </row>
    <row r="8" spans="1:18" x14ac:dyDescent="0.3">
      <c r="A8" t="s">
        <v>67</v>
      </c>
      <c r="B8" s="3" t="s">
        <v>91</v>
      </c>
      <c r="C8" t="s">
        <v>74</v>
      </c>
      <c r="D8" s="2">
        <v>156745</v>
      </c>
      <c r="E8" s="2">
        <v>26902</v>
      </c>
      <c r="F8" s="2">
        <v>129843</v>
      </c>
      <c r="G8" s="2">
        <v>55130</v>
      </c>
      <c r="H8" s="2">
        <v>74713</v>
      </c>
      <c r="I8" s="5">
        <v>1030</v>
      </c>
      <c r="J8" s="5">
        <v>277</v>
      </c>
      <c r="K8">
        <v>123873</v>
      </c>
      <c r="L8" s="5">
        <v>952</v>
      </c>
      <c r="M8" s="5">
        <v>100</v>
      </c>
      <c r="N8" s="2">
        <v>1741</v>
      </c>
      <c r="O8" s="2">
        <v>38213</v>
      </c>
      <c r="P8" s="2">
        <v>101603</v>
      </c>
      <c r="Q8" s="2">
        <v>15188</v>
      </c>
      <c r="R8" s="2" t="s">
        <v>82</v>
      </c>
    </row>
    <row r="9" spans="1:18" x14ac:dyDescent="0.3">
      <c r="A9" t="s">
        <v>68</v>
      </c>
      <c r="B9" s="3" t="s">
        <v>91</v>
      </c>
      <c r="C9" t="s">
        <v>74</v>
      </c>
      <c r="D9" s="2">
        <v>16053</v>
      </c>
      <c r="E9" s="2">
        <v>3522</v>
      </c>
      <c r="F9" s="2">
        <v>12531</v>
      </c>
      <c r="G9" s="2">
        <v>1456</v>
      </c>
      <c r="H9" s="2">
        <v>11075</v>
      </c>
      <c r="I9" s="5">
        <v>815</v>
      </c>
      <c r="J9" s="5">
        <v>725</v>
      </c>
      <c r="K9">
        <v>3012</v>
      </c>
      <c r="L9" s="5">
        <v>480</v>
      </c>
      <c r="M9" s="5">
        <v>398</v>
      </c>
      <c r="N9" s="2">
        <v>433</v>
      </c>
      <c r="O9" s="2">
        <v>5263</v>
      </c>
      <c r="P9" s="2">
        <v>3356</v>
      </c>
      <c r="Q9" s="2">
        <v>4705</v>
      </c>
      <c r="R9" s="2">
        <v>2296</v>
      </c>
    </row>
    <row r="10" spans="1:18" x14ac:dyDescent="0.3">
      <c r="A10" t="s">
        <v>8</v>
      </c>
      <c r="B10" s="3" t="s">
        <v>91</v>
      </c>
      <c r="C10" t="s">
        <v>73</v>
      </c>
      <c r="D10" s="2">
        <v>44663</v>
      </c>
      <c r="E10" s="2">
        <v>6758</v>
      </c>
      <c r="F10" s="2">
        <v>37905</v>
      </c>
      <c r="G10" s="2">
        <v>23460</v>
      </c>
      <c r="H10" s="2">
        <v>14445</v>
      </c>
      <c r="I10" s="5">
        <v>901</v>
      </c>
      <c r="J10" s="5">
        <v>320</v>
      </c>
      <c r="K10">
        <v>36026</v>
      </c>
      <c r="L10" s="5">
        <v>720</v>
      </c>
      <c r="M10" s="5">
        <v>172</v>
      </c>
      <c r="N10" s="2">
        <v>1123</v>
      </c>
      <c r="O10" s="2">
        <v>20891</v>
      </c>
      <c r="P10" s="2">
        <v>10629</v>
      </c>
      <c r="Q10" s="2">
        <v>11564</v>
      </c>
      <c r="R10" s="2">
        <v>456</v>
      </c>
    </row>
    <row r="11" spans="1:18" x14ac:dyDescent="0.3">
      <c r="A11" t="s">
        <v>9</v>
      </c>
      <c r="B11" s="3" t="s">
        <v>91</v>
      </c>
      <c r="C11" t="s">
        <v>73</v>
      </c>
      <c r="D11" s="2">
        <v>4538772</v>
      </c>
      <c r="E11" s="2">
        <v>725149</v>
      </c>
      <c r="F11" s="2">
        <v>3813623</v>
      </c>
      <c r="G11" s="2">
        <v>2786806</v>
      </c>
      <c r="H11" s="2">
        <v>1026817</v>
      </c>
      <c r="I11" s="5">
        <v>806</v>
      </c>
      <c r="J11" s="5">
        <v>106</v>
      </c>
      <c r="K11">
        <v>4295772</v>
      </c>
      <c r="L11" s="5">
        <v>740</v>
      </c>
      <c r="M11" s="5">
        <v>62</v>
      </c>
      <c r="N11" s="2">
        <v>3437</v>
      </c>
      <c r="O11" s="2">
        <v>1677199</v>
      </c>
      <c r="P11" s="2">
        <v>2228615</v>
      </c>
      <c r="Q11" s="2">
        <v>624080</v>
      </c>
      <c r="R11" s="2">
        <v>5441</v>
      </c>
    </row>
    <row r="12" spans="1:18" x14ac:dyDescent="0.3">
      <c r="A12" t="s">
        <v>10</v>
      </c>
      <c r="B12" s="3" t="s">
        <v>91</v>
      </c>
      <c r="C12" t="s">
        <v>74</v>
      </c>
      <c r="D12" s="2">
        <v>1324295</v>
      </c>
      <c r="E12" s="2">
        <v>192032</v>
      </c>
      <c r="F12" s="2">
        <v>1132263</v>
      </c>
      <c r="G12" s="2">
        <v>510966</v>
      </c>
      <c r="H12" s="2">
        <v>621297</v>
      </c>
      <c r="I12" s="5">
        <v>777</v>
      </c>
      <c r="J12" s="5">
        <v>164</v>
      </c>
      <c r="K12">
        <v>1180015</v>
      </c>
      <c r="L12" s="5">
        <v>688</v>
      </c>
      <c r="M12" s="5">
        <v>89</v>
      </c>
      <c r="N12" s="2">
        <v>574</v>
      </c>
      <c r="O12" s="2">
        <v>512136</v>
      </c>
      <c r="P12" s="2">
        <v>750552</v>
      </c>
      <c r="Q12" s="2">
        <v>59512</v>
      </c>
      <c r="R12" s="2">
        <v>1521</v>
      </c>
    </row>
    <row r="13" spans="1:18" x14ac:dyDescent="0.3">
      <c r="A13" t="s">
        <v>11</v>
      </c>
      <c r="B13" s="3" t="s">
        <v>91</v>
      </c>
      <c r="C13" t="s">
        <v>73</v>
      </c>
      <c r="D13" s="2">
        <v>23380</v>
      </c>
      <c r="E13" s="2">
        <v>4130</v>
      </c>
      <c r="F13" s="2">
        <v>19250</v>
      </c>
      <c r="G13" s="2">
        <v>12614</v>
      </c>
      <c r="H13" s="2">
        <v>6636</v>
      </c>
      <c r="I13" s="5">
        <v>778</v>
      </c>
      <c r="J13" s="5">
        <v>372</v>
      </c>
      <c r="K13">
        <v>16702</v>
      </c>
      <c r="L13" s="5">
        <v>568</v>
      </c>
      <c r="M13" s="5">
        <v>243</v>
      </c>
      <c r="N13" s="2">
        <v>446</v>
      </c>
      <c r="O13" s="2">
        <v>9317</v>
      </c>
      <c r="P13" s="2">
        <v>5663</v>
      </c>
      <c r="Q13" s="2">
        <v>4585</v>
      </c>
      <c r="R13" s="2">
        <v>3369</v>
      </c>
    </row>
    <row r="14" spans="1:18" x14ac:dyDescent="0.3">
      <c r="A14" t="s">
        <v>12</v>
      </c>
      <c r="B14" s="3" t="s">
        <v>91</v>
      </c>
      <c r="C14" t="s">
        <v>73</v>
      </c>
      <c r="D14" s="2">
        <v>123304</v>
      </c>
      <c r="E14" s="2">
        <v>17687</v>
      </c>
      <c r="F14" s="2">
        <v>105617</v>
      </c>
      <c r="G14" s="2">
        <v>65823</v>
      </c>
      <c r="H14" s="2">
        <v>39794</v>
      </c>
      <c r="I14" s="5">
        <v>615</v>
      </c>
      <c r="J14" s="5">
        <v>235</v>
      </c>
      <c r="K14">
        <v>93877</v>
      </c>
      <c r="L14" s="5">
        <v>499</v>
      </c>
      <c r="M14" s="5">
        <v>134</v>
      </c>
      <c r="N14" s="2">
        <v>184</v>
      </c>
      <c r="O14" s="2">
        <v>59093</v>
      </c>
      <c r="P14" s="2">
        <v>28134</v>
      </c>
      <c r="Q14" s="2">
        <v>35893</v>
      </c>
      <c r="R14" s="2" t="s">
        <v>82</v>
      </c>
    </row>
    <row r="15" spans="1:18" x14ac:dyDescent="0.3">
      <c r="A15" t="s">
        <v>69</v>
      </c>
      <c r="B15" s="3" t="s">
        <v>91</v>
      </c>
      <c r="C15" t="s">
        <v>74</v>
      </c>
      <c r="D15" s="2">
        <v>120426</v>
      </c>
      <c r="E15" s="2">
        <v>15959</v>
      </c>
      <c r="F15" s="2">
        <v>104467</v>
      </c>
      <c r="G15" s="2">
        <v>33279</v>
      </c>
      <c r="H15" s="2">
        <v>71188</v>
      </c>
      <c r="I15" s="5">
        <v>509</v>
      </c>
      <c r="J15" s="5">
        <v>202</v>
      </c>
      <c r="K15">
        <v>92090</v>
      </c>
      <c r="L15" s="5">
        <v>402</v>
      </c>
      <c r="M15" s="5">
        <v>108</v>
      </c>
      <c r="N15" s="2">
        <v>563</v>
      </c>
      <c r="O15" s="2">
        <v>70540</v>
      </c>
      <c r="P15" s="2">
        <v>36828</v>
      </c>
      <c r="Q15" s="2">
        <v>11669</v>
      </c>
      <c r="R15" s="2">
        <v>826</v>
      </c>
    </row>
    <row r="16" spans="1:18" x14ac:dyDescent="0.3">
      <c r="A16" t="s">
        <v>14</v>
      </c>
      <c r="B16" s="3" t="s">
        <v>91</v>
      </c>
      <c r="C16" t="s">
        <v>74</v>
      </c>
      <c r="D16" s="2">
        <v>448568</v>
      </c>
      <c r="E16" s="2">
        <v>74773</v>
      </c>
      <c r="F16" s="2">
        <v>373795</v>
      </c>
      <c r="G16" s="2">
        <v>182167</v>
      </c>
      <c r="H16" s="2">
        <v>191628</v>
      </c>
      <c r="I16" s="5">
        <v>816</v>
      </c>
      <c r="J16" s="5">
        <v>230</v>
      </c>
      <c r="K16">
        <v>382114</v>
      </c>
      <c r="L16" s="5">
        <v>688</v>
      </c>
      <c r="M16" s="5">
        <v>142</v>
      </c>
      <c r="N16" s="2">
        <v>282</v>
      </c>
      <c r="O16" s="2">
        <v>167455</v>
      </c>
      <c r="P16" s="2">
        <v>141789</v>
      </c>
      <c r="Q16" s="2">
        <v>139042</v>
      </c>
      <c r="R16" s="2" t="s">
        <v>82</v>
      </c>
    </row>
    <row r="17" spans="1:18" x14ac:dyDescent="0.3">
      <c r="A17" t="s">
        <v>15</v>
      </c>
      <c r="B17" s="3" t="s">
        <v>91</v>
      </c>
      <c r="C17" t="s">
        <v>73</v>
      </c>
      <c r="D17" s="2">
        <v>300049</v>
      </c>
      <c r="E17" s="2">
        <v>42907</v>
      </c>
      <c r="F17" s="2">
        <v>257142</v>
      </c>
      <c r="G17" s="2">
        <v>133201</v>
      </c>
      <c r="H17" s="2">
        <v>123941</v>
      </c>
      <c r="I17" s="5">
        <v>623</v>
      </c>
      <c r="J17" s="5">
        <v>222</v>
      </c>
      <c r="K17">
        <v>250156</v>
      </c>
      <c r="L17" s="5">
        <v>481</v>
      </c>
      <c r="M17" s="5">
        <v>137</v>
      </c>
      <c r="N17" s="2" t="s">
        <v>82</v>
      </c>
      <c r="O17" s="2">
        <v>107691</v>
      </c>
      <c r="P17" s="2">
        <v>184739</v>
      </c>
      <c r="Q17" s="2">
        <v>6908</v>
      </c>
      <c r="R17" s="2" t="s">
        <v>82</v>
      </c>
    </row>
    <row r="18" spans="1:18" x14ac:dyDescent="0.3">
      <c r="A18" t="s">
        <v>16</v>
      </c>
      <c r="B18" s="3" t="s">
        <v>91</v>
      </c>
      <c r="C18" t="s">
        <v>73</v>
      </c>
      <c r="D18" s="2">
        <v>192811</v>
      </c>
      <c r="E18" s="2">
        <v>26335</v>
      </c>
      <c r="F18" s="2">
        <v>166476</v>
      </c>
      <c r="G18" s="2">
        <v>92554</v>
      </c>
      <c r="H18" s="2">
        <v>73922</v>
      </c>
      <c r="I18" s="5">
        <v>779</v>
      </c>
      <c r="J18" s="5">
        <v>160</v>
      </c>
      <c r="K18">
        <v>170974</v>
      </c>
      <c r="L18" s="5">
        <v>697</v>
      </c>
      <c r="M18" s="5">
        <v>80</v>
      </c>
      <c r="N18" s="2">
        <v>130</v>
      </c>
      <c r="O18" s="2">
        <v>90801</v>
      </c>
      <c r="P18" s="2">
        <v>87620</v>
      </c>
      <c r="Q18" s="2">
        <v>14260</v>
      </c>
      <c r="R18" s="2" t="s">
        <v>82</v>
      </c>
    </row>
    <row r="19" spans="1:18" x14ac:dyDescent="0.3">
      <c r="A19" t="s">
        <v>17</v>
      </c>
      <c r="B19" s="3" t="s">
        <v>91</v>
      </c>
      <c r="C19" t="s">
        <v>74</v>
      </c>
      <c r="D19" s="2">
        <v>89028</v>
      </c>
      <c r="E19" s="2">
        <v>15624</v>
      </c>
      <c r="F19" s="2">
        <v>73404</v>
      </c>
      <c r="G19" s="2">
        <v>28226</v>
      </c>
      <c r="H19" s="2">
        <v>45178</v>
      </c>
      <c r="I19" s="5">
        <v>797</v>
      </c>
      <c r="J19" s="5">
        <v>288</v>
      </c>
      <c r="K19">
        <v>71435</v>
      </c>
      <c r="L19" s="5">
        <v>634</v>
      </c>
      <c r="M19" s="5">
        <v>168</v>
      </c>
      <c r="N19" s="2">
        <v>999</v>
      </c>
      <c r="O19" s="2">
        <v>35330</v>
      </c>
      <c r="P19" s="2">
        <v>46821</v>
      </c>
      <c r="Q19" s="2">
        <v>5878</v>
      </c>
      <c r="R19" s="2" t="s">
        <v>82</v>
      </c>
    </row>
    <row r="20" spans="1:18" x14ac:dyDescent="0.3">
      <c r="A20" t="s">
        <v>18</v>
      </c>
      <c r="B20" s="3" t="s">
        <v>91</v>
      </c>
      <c r="C20" t="s">
        <v>73</v>
      </c>
      <c r="D20" s="2">
        <v>296648</v>
      </c>
      <c r="E20" s="2">
        <v>31342</v>
      </c>
      <c r="F20" s="2">
        <v>265306</v>
      </c>
      <c r="G20" s="2">
        <v>103783</v>
      </c>
      <c r="H20" s="2">
        <v>161523</v>
      </c>
      <c r="I20" s="5">
        <v>759</v>
      </c>
      <c r="J20" s="5">
        <v>144</v>
      </c>
      <c r="K20">
        <v>270419</v>
      </c>
      <c r="L20" s="5">
        <v>674</v>
      </c>
      <c r="M20" s="5">
        <v>82</v>
      </c>
      <c r="N20" s="2" t="s">
        <v>82</v>
      </c>
      <c r="O20" s="2">
        <v>168905</v>
      </c>
      <c r="P20" s="2">
        <v>112263</v>
      </c>
      <c r="Q20" s="2">
        <v>15480</v>
      </c>
      <c r="R20" s="2" t="s">
        <v>82</v>
      </c>
    </row>
    <row r="21" spans="1:18" x14ac:dyDescent="0.3">
      <c r="A21" t="s">
        <v>70</v>
      </c>
      <c r="B21" s="3" t="s">
        <v>91</v>
      </c>
      <c r="C21" t="s">
        <v>74</v>
      </c>
      <c r="D21" s="2">
        <v>403624</v>
      </c>
      <c r="E21" s="2">
        <v>56744</v>
      </c>
      <c r="F21" s="2">
        <v>346880</v>
      </c>
      <c r="G21" s="2">
        <v>159341</v>
      </c>
      <c r="H21" s="2">
        <v>187539</v>
      </c>
      <c r="I21" s="5">
        <v>594</v>
      </c>
      <c r="J21" s="5">
        <v>325</v>
      </c>
      <c r="K21">
        <v>292196</v>
      </c>
      <c r="L21" s="5">
        <v>371</v>
      </c>
      <c r="M21" s="5">
        <v>219</v>
      </c>
      <c r="N21" s="2">
        <v>889</v>
      </c>
      <c r="O21" s="2">
        <v>34062</v>
      </c>
      <c r="P21" s="2">
        <v>358260</v>
      </c>
      <c r="Q21" s="2">
        <v>7385</v>
      </c>
      <c r="R21" s="2">
        <v>3028</v>
      </c>
    </row>
    <row r="22" spans="1:18" x14ac:dyDescent="0.3">
      <c r="A22" t="s">
        <v>20</v>
      </c>
      <c r="B22" s="3" t="s">
        <v>91</v>
      </c>
      <c r="C22" t="s">
        <v>74</v>
      </c>
      <c r="D22" s="2">
        <v>255612</v>
      </c>
      <c r="E22" s="2">
        <v>47815</v>
      </c>
      <c r="F22" s="2">
        <v>207797</v>
      </c>
      <c r="G22" s="2">
        <v>61434</v>
      </c>
      <c r="H22" s="2">
        <v>146363</v>
      </c>
      <c r="I22" s="5">
        <v>542</v>
      </c>
      <c r="J22" s="5">
        <v>284</v>
      </c>
      <c r="K22">
        <v>172309</v>
      </c>
      <c r="L22" s="5">
        <v>384</v>
      </c>
      <c r="M22" s="5">
        <v>181</v>
      </c>
      <c r="N22" s="2">
        <v>2564</v>
      </c>
      <c r="O22" s="2">
        <v>67563</v>
      </c>
      <c r="P22" s="2">
        <v>76594</v>
      </c>
      <c r="Q22" s="2">
        <v>106187</v>
      </c>
      <c r="R22" s="2">
        <v>2704</v>
      </c>
    </row>
    <row r="23" spans="1:18" x14ac:dyDescent="0.3">
      <c r="A23" t="s">
        <v>21</v>
      </c>
      <c r="B23" s="3" t="s">
        <v>91</v>
      </c>
      <c r="C23" t="s">
        <v>74</v>
      </c>
      <c r="D23" s="2">
        <v>58523</v>
      </c>
      <c r="E23" s="2">
        <v>8577</v>
      </c>
      <c r="F23" s="2">
        <v>49946</v>
      </c>
      <c r="G23" s="2">
        <v>26149</v>
      </c>
      <c r="H23" s="2">
        <v>23797</v>
      </c>
      <c r="I23" s="5">
        <v>913</v>
      </c>
      <c r="J23" s="5">
        <v>340</v>
      </c>
      <c r="K23">
        <v>43597</v>
      </c>
      <c r="L23" s="5">
        <v>769</v>
      </c>
      <c r="M23" s="5">
        <v>178</v>
      </c>
      <c r="N23" s="2">
        <v>550</v>
      </c>
      <c r="O23" s="2">
        <v>33814</v>
      </c>
      <c r="P23" s="2">
        <v>19513</v>
      </c>
      <c r="Q23" s="2">
        <v>4392</v>
      </c>
      <c r="R23" s="2">
        <v>254</v>
      </c>
    </row>
    <row r="24" spans="1:18" x14ac:dyDescent="0.3">
      <c r="A24" t="s">
        <v>22</v>
      </c>
      <c r="B24" s="3" t="s">
        <v>91</v>
      </c>
      <c r="C24" t="s">
        <v>73</v>
      </c>
      <c r="D24" s="2">
        <v>497064</v>
      </c>
      <c r="E24" s="2">
        <v>64637</v>
      </c>
      <c r="F24" s="2">
        <v>432427</v>
      </c>
      <c r="G24" s="2">
        <v>235220</v>
      </c>
      <c r="H24" s="2">
        <v>197207</v>
      </c>
      <c r="I24" s="5">
        <v>657</v>
      </c>
      <c r="J24" s="5">
        <v>222</v>
      </c>
      <c r="K24">
        <v>402911</v>
      </c>
      <c r="L24" s="5">
        <v>536</v>
      </c>
      <c r="M24" s="5">
        <v>127</v>
      </c>
      <c r="N24" s="2">
        <v>8045</v>
      </c>
      <c r="O24" s="2">
        <v>239037</v>
      </c>
      <c r="P24" s="2">
        <v>232730</v>
      </c>
      <c r="Q24" s="2">
        <v>17252</v>
      </c>
      <c r="R24" s="2" t="s">
        <v>82</v>
      </c>
    </row>
    <row r="25" spans="1:18" x14ac:dyDescent="0.3">
      <c r="A25" t="s">
        <v>23</v>
      </c>
      <c r="B25" s="3" t="s">
        <v>91</v>
      </c>
      <c r="C25" t="s">
        <v>74</v>
      </c>
      <c r="D25" s="2">
        <v>139251</v>
      </c>
      <c r="E25" s="2">
        <v>24417</v>
      </c>
      <c r="F25" s="2">
        <v>114834</v>
      </c>
      <c r="G25" s="2">
        <v>30875</v>
      </c>
      <c r="H25" s="2">
        <v>83959</v>
      </c>
      <c r="I25" s="5">
        <v>639</v>
      </c>
      <c r="J25" s="5">
        <v>437</v>
      </c>
      <c r="K25">
        <v>68982</v>
      </c>
      <c r="L25" s="5">
        <v>409</v>
      </c>
      <c r="M25" s="5">
        <v>284</v>
      </c>
      <c r="N25" s="2" t="s">
        <v>82</v>
      </c>
      <c r="O25" s="2">
        <v>77802</v>
      </c>
      <c r="P25" s="2">
        <v>40677</v>
      </c>
      <c r="Q25" s="2">
        <v>20772</v>
      </c>
      <c r="R25" s="2" t="s">
        <v>82</v>
      </c>
    </row>
    <row r="26" spans="1:18" x14ac:dyDescent="0.3">
      <c r="A26" t="s">
        <v>24</v>
      </c>
      <c r="B26" s="3" t="s">
        <v>91</v>
      </c>
      <c r="C26" t="s">
        <v>73</v>
      </c>
      <c r="D26" s="2">
        <v>365734</v>
      </c>
      <c r="E26" s="2">
        <v>46284</v>
      </c>
      <c r="F26" s="2">
        <v>319450</v>
      </c>
      <c r="G26" s="2">
        <v>166907</v>
      </c>
      <c r="H26" s="2">
        <v>152543</v>
      </c>
      <c r="I26" s="5">
        <v>724</v>
      </c>
      <c r="J26" s="5">
        <v>173</v>
      </c>
      <c r="K26">
        <v>316392</v>
      </c>
      <c r="L26" s="5">
        <v>638</v>
      </c>
      <c r="M26" s="5">
        <v>90</v>
      </c>
      <c r="N26" s="2">
        <v>791</v>
      </c>
      <c r="O26" s="2">
        <v>187274</v>
      </c>
      <c r="P26" s="2">
        <v>138361</v>
      </c>
      <c r="Q26" s="2">
        <v>39308</v>
      </c>
      <c r="R26" s="2" t="s">
        <v>82</v>
      </c>
    </row>
    <row r="27" spans="1:18" x14ac:dyDescent="0.3">
      <c r="A27" t="s">
        <v>25</v>
      </c>
      <c r="B27" s="3" t="s">
        <v>91</v>
      </c>
      <c r="C27" t="s">
        <v>73</v>
      </c>
      <c r="D27" s="2">
        <v>313392</v>
      </c>
      <c r="E27" s="2">
        <v>62394</v>
      </c>
      <c r="F27" s="2">
        <v>250998</v>
      </c>
      <c r="G27" s="2">
        <v>119770</v>
      </c>
      <c r="H27" s="2">
        <v>131228</v>
      </c>
      <c r="I27" s="5">
        <v>816</v>
      </c>
      <c r="J27" s="5">
        <v>131</v>
      </c>
      <c r="K27">
        <v>298865</v>
      </c>
      <c r="L27" s="5">
        <v>718</v>
      </c>
      <c r="M27" s="5">
        <v>94</v>
      </c>
      <c r="N27" s="2" t="s">
        <v>82</v>
      </c>
      <c r="O27" s="2">
        <v>113435</v>
      </c>
      <c r="P27" s="2">
        <v>198108</v>
      </c>
      <c r="Q27" s="2">
        <v>1849</v>
      </c>
      <c r="R27" s="2" t="s">
        <v>82</v>
      </c>
    </row>
    <row r="28" spans="1:18" x14ac:dyDescent="0.3">
      <c r="A28" t="s">
        <v>26</v>
      </c>
      <c r="B28" s="3" t="s">
        <v>91</v>
      </c>
      <c r="C28" t="s">
        <v>73</v>
      </c>
      <c r="D28" s="2">
        <v>73255</v>
      </c>
      <c r="E28" s="2">
        <v>10443</v>
      </c>
      <c r="F28" s="2">
        <v>62812</v>
      </c>
      <c r="G28" s="2">
        <v>39032</v>
      </c>
      <c r="H28" s="2">
        <v>23780</v>
      </c>
      <c r="I28" s="5">
        <v>729</v>
      </c>
      <c r="J28" s="5">
        <v>230</v>
      </c>
      <c r="K28">
        <v>56892</v>
      </c>
      <c r="L28" s="5">
        <v>643</v>
      </c>
      <c r="M28" s="5">
        <v>107</v>
      </c>
      <c r="N28" s="2">
        <v>3238</v>
      </c>
      <c r="O28" s="2">
        <v>47311</v>
      </c>
      <c r="P28" s="2">
        <v>17554</v>
      </c>
      <c r="Q28" s="2">
        <v>5152</v>
      </c>
      <c r="R28" s="2" t="s">
        <v>82</v>
      </c>
    </row>
    <row r="29" spans="1:18" x14ac:dyDescent="0.3">
      <c r="A29" t="s">
        <v>27</v>
      </c>
      <c r="B29" s="3" t="s">
        <v>91</v>
      </c>
      <c r="C29" t="s">
        <v>73</v>
      </c>
      <c r="D29" s="2">
        <v>761457</v>
      </c>
      <c r="E29" s="2">
        <v>125794</v>
      </c>
      <c r="F29" s="2">
        <v>635663</v>
      </c>
      <c r="G29" s="2">
        <v>384487</v>
      </c>
      <c r="H29" s="2">
        <v>251176</v>
      </c>
      <c r="I29" s="5">
        <v>755</v>
      </c>
      <c r="J29" s="5">
        <v>180</v>
      </c>
      <c r="K29">
        <v>662864</v>
      </c>
      <c r="L29" s="5">
        <v>660</v>
      </c>
      <c r="M29" s="5">
        <v>97</v>
      </c>
      <c r="N29" s="2" t="s">
        <v>82</v>
      </c>
      <c r="O29" s="2">
        <v>486199</v>
      </c>
      <c r="P29" s="2">
        <v>232430</v>
      </c>
      <c r="Q29" s="2">
        <v>42828</v>
      </c>
      <c r="R29" s="2" t="s">
        <v>82</v>
      </c>
    </row>
    <row r="30" spans="1:18" x14ac:dyDescent="0.3">
      <c r="A30" t="s">
        <v>28</v>
      </c>
      <c r="B30" s="3" t="s">
        <v>91</v>
      </c>
      <c r="C30" t="s">
        <v>73</v>
      </c>
      <c r="D30" s="2">
        <v>41014</v>
      </c>
      <c r="E30" s="2">
        <v>5230</v>
      </c>
      <c r="F30" s="2">
        <v>35784</v>
      </c>
      <c r="G30" s="2">
        <v>25848</v>
      </c>
      <c r="H30" s="2">
        <v>9936</v>
      </c>
      <c r="I30" s="5">
        <v>591</v>
      </c>
      <c r="J30" s="5">
        <v>229</v>
      </c>
      <c r="K30">
        <v>32183</v>
      </c>
      <c r="L30" s="5">
        <v>462</v>
      </c>
      <c r="M30" s="5">
        <v>126</v>
      </c>
      <c r="N30" s="2">
        <v>791</v>
      </c>
      <c r="O30" s="2">
        <v>21451</v>
      </c>
      <c r="P30" s="2">
        <v>8516</v>
      </c>
      <c r="Q30" s="2">
        <v>10256</v>
      </c>
      <c r="R30" s="2" t="s">
        <v>82</v>
      </c>
    </row>
    <row r="31" spans="1:18" x14ac:dyDescent="0.3">
      <c r="A31" t="s">
        <v>29</v>
      </c>
      <c r="B31" s="3" t="s">
        <v>91</v>
      </c>
      <c r="C31" t="s">
        <v>73</v>
      </c>
      <c r="D31" s="2">
        <v>128492</v>
      </c>
      <c r="E31" s="2">
        <v>14833</v>
      </c>
      <c r="F31" s="2">
        <v>113659</v>
      </c>
      <c r="G31" s="2">
        <v>77150</v>
      </c>
      <c r="H31" s="2">
        <v>36509</v>
      </c>
      <c r="I31" s="5">
        <v>800</v>
      </c>
      <c r="J31" s="5">
        <v>217</v>
      </c>
      <c r="K31">
        <v>111189</v>
      </c>
      <c r="L31" s="5">
        <v>674</v>
      </c>
      <c r="M31" s="5">
        <v>120</v>
      </c>
      <c r="N31" s="2" t="s">
        <v>82</v>
      </c>
      <c r="O31" s="2">
        <v>84672</v>
      </c>
      <c r="P31" s="2">
        <v>35102</v>
      </c>
      <c r="Q31" s="2">
        <v>8718</v>
      </c>
      <c r="R31" s="2" t="s">
        <v>82</v>
      </c>
    </row>
    <row r="32" spans="1:18" x14ac:dyDescent="0.3">
      <c r="A32" t="s">
        <v>30</v>
      </c>
      <c r="B32" s="3" t="s">
        <v>91</v>
      </c>
      <c r="C32" t="s">
        <v>73</v>
      </c>
      <c r="D32" s="2">
        <v>66024</v>
      </c>
      <c r="E32" s="2">
        <v>11751</v>
      </c>
      <c r="F32" s="2">
        <v>54273</v>
      </c>
      <c r="G32" s="2">
        <v>34260</v>
      </c>
      <c r="H32" s="2">
        <v>20013</v>
      </c>
      <c r="I32" s="5">
        <v>553</v>
      </c>
      <c r="J32" s="5">
        <v>342</v>
      </c>
      <c r="K32">
        <v>36748</v>
      </c>
      <c r="L32" s="5">
        <v>378</v>
      </c>
      <c r="M32" s="5">
        <v>200</v>
      </c>
      <c r="N32" s="2">
        <v>1343</v>
      </c>
      <c r="O32" s="2">
        <v>30105</v>
      </c>
      <c r="P32" s="2">
        <v>24549</v>
      </c>
      <c r="Q32" s="2">
        <v>10027</v>
      </c>
      <c r="R32" s="2" t="s">
        <v>82</v>
      </c>
    </row>
    <row r="33" spans="1:18" x14ac:dyDescent="0.3">
      <c r="A33" t="s">
        <v>31</v>
      </c>
      <c r="B33" s="3" t="s">
        <v>91</v>
      </c>
      <c r="C33" t="s">
        <v>74</v>
      </c>
      <c r="D33" s="2">
        <v>509192</v>
      </c>
      <c r="E33" s="2">
        <v>77970</v>
      </c>
      <c r="F33" s="2">
        <v>431222</v>
      </c>
      <c r="G33" s="2">
        <v>219933</v>
      </c>
      <c r="H33" s="2">
        <v>211289</v>
      </c>
      <c r="I33" s="5">
        <v>734</v>
      </c>
      <c r="J33" s="5">
        <v>277</v>
      </c>
      <c r="K33">
        <v>418531</v>
      </c>
      <c r="L33" s="5">
        <v>556</v>
      </c>
      <c r="M33" s="5">
        <v>185</v>
      </c>
      <c r="N33" s="2">
        <v>1719</v>
      </c>
      <c r="O33" s="2">
        <v>124678</v>
      </c>
      <c r="P33" s="2">
        <v>377437</v>
      </c>
      <c r="Q33" s="2">
        <v>5358</v>
      </c>
      <c r="R33" s="2" t="s">
        <v>82</v>
      </c>
    </row>
    <row r="34" spans="1:18" x14ac:dyDescent="0.3">
      <c r="A34" t="s">
        <v>32</v>
      </c>
      <c r="B34" s="3" t="s">
        <v>91</v>
      </c>
      <c r="C34" t="s">
        <v>74</v>
      </c>
      <c r="D34" s="2">
        <v>83103</v>
      </c>
      <c r="E34" s="2">
        <v>12863</v>
      </c>
      <c r="F34" s="2">
        <v>70240</v>
      </c>
      <c r="G34" s="2">
        <v>20159</v>
      </c>
      <c r="H34" s="2">
        <v>50081</v>
      </c>
      <c r="I34" s="5">
        <v>842</v>
      </c>
      <c r="J34" s="5">
        <v>299</v>
      </c>
      <c r="K34">
        <v>68362</v>
      </c>
      <c r="L34" s="5">
        <v>659</v>
      </c>
      <c r="M34" s="5">
        <v>196</v>
      </c>
      <c r="N34" s="2" t="s">
        <v>82</v>
      </c>
      <c r="O34" s="2">
        <v>2596</v>
      </c>
      <c r="P34" s="2">
        <v>30201</v>
      </c>
      <c r="Q34" s="2">
        <v>50306</v>
      </c>
      <c r="R34" s="2" t="s">
        <v>82</v>
      </c>
    </row>
    <row r="35" spans="1:18" x14ac:dyDescent="0.3">
      <c r="A35" t="s">
        <v>33</v>
      </c>
      <c r="B35" s="3" t="s">
        <v>91</v>
      </c>
      <c r="C35" t="s">
        <v>74</v>
      </c>
      <c r="D35" s="2">
        <v>104286</v>
      </c>
      <c r="E35" s="2">
        <v>20911</v>
      </c>
      <c r="F35" s="2">
        <v>83375</v>
      </c>
      <c r="G35" s="2">
        <v>42654</v>
      </c>
      <c r="H35" s="2">
        <v>40721</v>
      </c>
      <c r="I35" s="5">
        <v>659</v>
      </c>
      <c r="J35" s="5">
        <v>234</v>
      </c>
      <c r="K35">
        <v>85980</v>
      </c>
      <c r="L35" s="5">
        <v>516</v>
      </c>
      <c r="M35" s="5">
        <v>148</v>
      </c>
      <c r="N35" s="2">
        <v>291</v>
      </c>
      <c r="O35" s="2">
        <v>44202</v>
      </c>
      <c r="P35" s="2">
        <v>55880</v>
      </c>
      <c r="Q35" s="2">
        <v>3913</v>
      </c>
      <c r="R35" s="2" t="s">
        <v>82</v>
      </c>
    </row>
    <row r="36" spans="1:18" x14ac:dyDescent="0.3">
      <c r="A36" t="s">
        <v>34</v>
      </c>
      <c r="B36" s="3" t="s">
        <v>91</v>
      </c>
      <c r="C36" t="s">
        <v>74</v>
      </c>
      <c r="D36" s="2">
        <v>210704</v>
      </c>
      <c r="E36" s="2">
        <v>31868</v>
      </c>
      <c r="F36" s="2">
        <v>178836</v>
      </c>
      <c r="G36" s="2">
        <v>71295</v>
      </c>
      <c r="H36" s="2">
        <v>107541</v>
      </c>
      <c r="I36" s="5">
        <v>812</v>
      </c>
      <c r="J36" s="5">
        <v>636</v>
      </c>
      <c r="K36">
        <v>89718</v>
      </c>
      <c r="L36" s="5">
        <v>422</v>
      </c>
      <c r="M36" s="5">
        <v>376</v>
      </c>
      <c r="N36" s="2">
        <v>4036</v>
      </c>
      <c r="O36" s="2">
        <v>104370</v>
      </c>
      <c r="P36" s="2">
        <v>75396</v>
      </c>
      <c r="Q36" s="2">
        <v>15723</v>
      </c>
      <c r="R36" s="2">
        <v>11179</v>
      </c>
    </row>
    <row r="37" spans="1:18" x14ac:dyDescent="0.3">
      <c r="A37" t="s">
        <v>35</v>
      </c>
      <c r="B37" s="3" t="s">
        <v>91</v>
      </c>
      <c r="C37" t="s">
        <v>73</v>
      </c>
      <c r="D37" s="2">
        <v>469616</v>
      </c>
      <c r="E37" s="2">
        <v>73309</v>
      </c>
      <c r="F37" s="2">
        <v>396307</v>
      </c>
      <c r="G37" s="2">
        <v>208141</v>
      </c>
      <c r="H37" s="2">
        <v>188166</v>
      </c>
      <c r="I37" s="5">
        <v>665</v>
      </c>
      <c r="J37" s="5">
        <v>233</v>
      </c>
      <c r="K37">
        <v>387729</v>
      </c>
      <c r="L37" s="5">
        <v>523</v>
      </c>
      <c r="M37" s="5">
        <v>131</v>
      </c>
      <c r="N37" s="2" t="s">
        <v>82</v>
      </c>
      <c r="O37" s="2">
        <v>282120</v>
      </c>
      <c r="P37" s="2">
        <v>168124</v>
      </c>
      <c r="Q37" s="2">
        <v>19372</v>
      </c>
      <c r="R37" s="2" t="s">
        <v>82</v>
      </c>
    </row>
    <row r="38" spans="1:18" x14ac:dyDescent="0.3">
      <c r="A38" t="s">
        <v>36</v>
      </c>
      <c r="B38" s="3" t="s">
        <v>91</v>
      </c>
      <c r="C38" t="s">
        <v>73</v>
      </c>
      <c r="D38" s="2">
        <v>261887</v>
      </c>
      <c r="E38" s="2">
        <v>33769</v>
      </c>
      <c r="F38" s="2">
        <v>228118</v>
      </c>
      <c r="G38" s="2">
        <v>119580</v>
      </c>
      <c r="H38" s="2">
        <v>108538</v>
      </c>
      <c r="I38" s="5">
        <v>727</v>
      </c>
      <c r="J38" s="5">
        <v>161</v>
      </c>
      <c r="K38">
        <v>237649</v>
      </c>
      <c r="L38" s="5">
        <v>624</v>
      </c>
      <c r="M38" s="5">
        <v>98</v>
      </c>
      <c r="N38" s="2">
        <v>1127</v>
      </c>
      <c r="O38" s="2">
        <v>152229</v>
      </c>
      <c r="P38" s="2">
        <v>88181</v>
      </c>
      <c r="Q38" s="2">
        <v>20350</v>
      </c>
      <c r="R38" s="2" t="s">
        <v>82</v>
      </c>
    </row>
    <row r="39" spans="1:18" x14ac:dyDescent="0.3">
      <c r="A39" t="s">
        <v>37</v>
      </c>
      <c r="B39" s="3" t="s">
        <v>91</v>
      </c>
      <c r="C39" t="s">
        <v>73</v>
      </c>
      <c r="D39" s="2">
        <v>118372</v>
      </c>
      <c r="E39" s="2">
        <v>16801</v>
      </c>
      <c r="F39" s="2">
        <v>101571</v>
      </c>
      <c r="G39" s="2">
        <v>70004</v>
      </c>
      <c r="H39" s="2">
        <v>31567</v>
      </c>
      <c r="I39" s="5">
        <v>741</v>
      </c>
      <c r="J39" s="5">
        <v>426</v>
      </c>
      <c r="K39">
        <v>71031</v>
      </c>
      <c r="L39" s="5">
        <v>525</v>
      </c>
      <c r="M39" s="5">
        <v>253</v>
      </c>
      <c r="N39" s="2" t="s">
        <v>82</v>
      </c>
      <c r="O39" s="2">
        <v>65978</v>
      </c>
      <c r="P39" s="2">
        <v>36311</v>
      </c>
      <c r="Q39" s="2">
        <v>16083</v>
      </c>
      <c r="R39" s="2" t="s">
        <v>82</v>
      </c>
    </row>
    <row r="40" spans="1:18" x14ac:dyDescent="0.3">
      <c r="A40" t="s">
        <v>38</v>
      </c>
      <c r="B40" s="3" t="s">
        <v>91</v>
      </c>
      <c r="C40" t="s">
        <v>74</v>
      </c>
      <c r="D40" s="2">
        <v>501459</v>
      </c>
      <c r="E40" s="2">
        <v>81373</v>
      </c>
      <c r="F40" s="2">
        <v>420086</v>
      </c>
      <c r="G40" s="2">
        <v>143158</v>
      </c>
      <c r="H40" s="2">
        <v>276928</v>
      </c>
      <c r="I40" s="5">
        <v>742</v>
      </c>
      <c r="J40" s="5">
        <v>251</v>
      </c>
      <c r="K40">
        <v>400008</v>
      </c>
      <c r="L40" s="5">
        <v>616</v>
      </c>
      <c r="M40" s="5">
        <v>145</v>
      </c>
      <c r="N40" s="2">
        <v>497</v>
      </c>
      <c r="O40" s="2">
        <v>151590</v>
      </c>
      <c r="P40" s="2">
        <v>131343</v>
      </c>
      <c r="Q40" s="2">
        <v>216977</v>
      </c>
      <c r="R40" s="2">
        <v>1052</v>
      </c>
    </row>
    <row r="41" spans="1:18" x14ac:dyDescent="0.3">
      <c r="A41" t="s">
        <v>71</v>
      </c>
      <c r="B41" s="3" t="s">
        <v>91</v>
      </c>
      <c r="C41" t="s">
        <v>74</v>
      </c>
      <c r="D41" s="2">
        <v>43446</v>
      </c>
      <c r="E41" s="2">
        <v>9818</v>
      </c>
      <c r="F41" s="2">
        <v>33628</v>
      </c>
      <c r="G41" s="2">
        <v>8208</v>
      </c>
      <c r="H41" s="2">
        <v>25420</v>
      </c>
      <c r="I41" s="5">
        <v>649</v>
      </c>
      <c r="J41" s="5">
        <v>246</v>
      </c>
      <c r="K41">
        <v>35699</v>
      </c>
      <c r="L41" s="5">
        <v>491</v>
      </c>
      <c r="M41" s="5">
        <v>166</v>
      </c>
      <c r="N41" s="2" t="s">
        <v>82</v>
      </c>
      <c r="O41" s="2">
        <v>13386</v>
      </c>
      <c r="P41" s="2">
        <v>15232</v>
      </c>
      <c r="Q41" s="2">
        <v>14078</v>
      </c>
      <c r="R41" s="2">
        <v>750</v>
      </c>
    </row>
    <row r="42" spans="1:18" x14ac:dyDescent="0.3">
      <c r="A42" t="s">
        <v>40</v>
      </c>
      <c r="B42" s="3" t="s">
        <v>91</v>
      </c>
      <c r="C42" t="s">
        <v>73</v>
      </c>
      <c r="D42" s="2">
        <v>587567</v>
      </c>
      <c r="E42" s="2">
        <v>84654</v>
      </c>
      <c r="F42" s="2">
        <v>502913</v>
      </c>
      <c r="G42" s="2">
        <v>266081</v>
      </c>
      <c r="H42" s="2">
        <v>236832</v>
      </c>
      <c r="I42" s="5">
        <v>655</v>
      </c>
      <c r="J42" s="5">
        <v>139</v>
      </c>
      <c r="K42">
        <v>524034</v>
      </c>
      <c r="L42" s="5">
        <v>579</v>
      </c>
      <c r="M42" s="5">
        <v>76</v>
      </c>
      <c r="N42" s="2" t="s">
        <v>82</v>
      </c>
      <c r="O42" s="2">
        <v>377450</v>
      </c>
      <c r="P42" s="2">
        <v>193860</v>
      </c>
      <c r="Q42" s="2">
        <v>16257</v>
      </c>
      <c r="R42" s="2" t="s">
        <v>82</v>
      </c>
    </row>
    <row r="43" spans="1:18" x14ac:dyDescent="0.3">
      <c r="A43" t="s">
        <v>41</v>
      </c>
      <c r="B43" s="3" t="s">
        <v>91</v>
      </c>
      <c r="C43" t="s">
        <v>73</v>
      </c>
      <c r="D43" s="2">
        <v>50951</v>
      </c>
      <c r="E43" s="2">
        <v>6685</v>
      </c>
      <c r="F43" s="2">
        <v>44266</v>
      </c>
      <c r="G43" s="2">
        <v>32986</v>
      </c>
      <c r="H43" s="2">
        <v>11280</v>
      </c>
      <c r="I43" s="5">
        <v>684</v>
      </c>
      <c r="J43" s="5">
        <v>211</v>
      </c>
      <c r="K43">
        <v>42465</v>
      </c>
      <c r="L43" s="5">
        <v>568</v>
      </c>
      <c r="M43" s="5">
        <v>118</v>
      </c>
      <c r="N43" s="2">
        <v>1672</v>
      </c>
      <c r="O43" s="2">
        <v>30223</v>
      </c>
      <c r="P43" s="2">
        <v>14017</v>
      </c>
      <c r="Q43" s="2">
        <v>5039</v>
      </c>
      <c r="R43" s="2" t="s">
        <v>82</v>
      </c>
    </row>
    <row r="44" spans="1:18" x14ac:dyDescent="0.3">
      <c r="A44" t="s">
        <v>42</v>
      </c>
      <c r="B44" s="3" t="s">
        <v>91</v>
      </c>
      <c r="C44" t="s">
        <v>73</v>
      </c>
      <c r="D44" s="2">
        <v>569310</v>
      </c>
      <c r="E44" s="2">
        <v>92921</v>
      </c>
      <c r="F44" s="2">
        <v>476389</v>
      </c>
      <c r="G44" s="2">
        <v>259380</v>
      </c>
      <c r="H44" s="2">
        <v>217009</v>
      </c>
      <c r="I44" s="5">
        <v>838</v>
      </c>
      <c r="J44" s="5">
        <v>141</v>
      </c>
      <c r="K44">
        <v>514288</v>
      </c>
      <c r="L44" s="5">
        <v>772</v>
      </c>
      <c r="M44" s="5">
        <v>67</v>
      </c>
      <c r="N44" s="2" t="s">
        <v>82</v>
      </c>
      <c r="O44" s="2">
        <v>319290</v>
      </c>
      <c r="P44" s="2">
        <v>213810</v>
      </c>
      <c r="Q44" s="2">
        <v>36113</v>
      </c>
      <c r="R44" s="2">
        <v>97</v>
      </c>
    </row>
    <row r="45" spans="1:18" x14ac:dyDescent="0.3">
      <c r="A45" t="s">
        <v>43</v>
      </c>
      <c r="B45" s="3" t="s">
        <v>91</v>
      </c>
      <c r="C45" t="s">
        <v>73</v>
      </c>
      <c r="D45" s="2">
        <v>4172233</v>
      </c>
      <c r="E45" s="2">
        <v>764316</v>
      </c>
      <c r="F45" s="2">
        <v>3407917</v>
      </c>
      <c r="G45" s="2">
        <v>2072012</v>
      </c>
      <c r="H45" s="2">
        <v>1335905</v>
      </c>
      <c r="I45" s="5">
        <v>709</v>
      </c>
      <c r="J45" s="5">
        <v>89</v>
      </c>
      <c r="K45">
        <v>3877775</v>
      </c>
      <c r="L45" s="5">
        <v>667</v>
      </c>
      <c r="M45" s="5">
        <v>41</v>
      </c>
      <c r="N45" s="2">
        <v>2669</v>
      </c>
      <c r="O45" s="2">
        <v>1299290</v>
      </c>
      <c r="P45" s="2">
        <v>1147273</v>
      </c>
      <c r="Q45" s="2">
        <v>1723001</v>
      </c>
      <c r="R45" s="2" t="s">
        <v>82</v>
      </c>
    </row>
    <row r="46" spans="1:18" x14ac:dyDescent="0.3">
      <c r="A46" t="s">
        <v>44</v>
      </c>
      <c r="B46" s="3" t="s">
        <v>91</v>
      </c>
      <c r="C46" t="s">
        <v>73</v>
      </c>
      <c r="D46" s="2">
        <v>387336</v>
      </c>
      <c r="E46" s="2">
        <v>46063</v>
      </c>
      <c r="F46" s="2">
        <v>341273</v>
      </c>
      <c r="G46" s="2">
        <v>255681</v>
      </c>
      <c r="H46" s="2">
        <v>85592</v>
      </c>
      <c r="I46" s="5">
        <v>571</v>
      </c>
      <c r="J46" s="5">
        <v>120</v>
      </c>
      <c r="K46">
        <v>350154</v>
      </c>
      <c r="L46" s="5">
        <v>499</v>
      </c>
      <c r="M46" s="5">
        <v>68</v>
      </c>
      <c r="N46" s="2" t="s">
        <v>82</v>
      </c>
      <c r="O46" s="2">
        <v>200835</v>
      </c>
      <c r="P46" s="2">
        <v>176878</v>
      </c>
      <c r="Q46" s="2">
        <v>9194</v>
      </c>
      <c r="R46" s="2">
        <v>429</v>
      </c>
    </row>
    <row r="47" spans="1:18" x14ac:dyDescent="0.3">
      <c r="A47" t="s">
        <v>45</v>
      </c>
      <c r="B47" s="3" t="s">
        <v>91</v>
      </c>
      <c r="C47" t="s">
        <v>74</v>
      </c>
      <c r="D47" s="2">
        <v>370086</v>
      </c>
      <c r="E47" s="2">
        <v>58469</v>
      </c>
      <c r="F47" s="2">
        <v>311617</v>
      </c>
      <c r="G47" s="2">
        <v>90220</v>
      </c>
      <c r="H47" s="2">
        <v>221397</v>
      </c>
      <c r="I47" s="5">
        <v>575</v>
      </c>
      <c r="J47" s="5">
        <v>215</v>
      </c>
      <c r="K47">
        <v>288477</v>
      </c>
      <c r="L47" s="5">
        <v>461</v>
      </c>
      <c r="M47" s="5">
        <v>124</v>
      </c>
      <c r="N47" s="2">
        <v>3195</v>
      </c>
      <c r="O47" s="2">
        <v>156700</v>
      </c>
      <c r="P47" s="2">
        <v>115308</v>
      </c>
      <c r="Q47" s="2">
        <v>93512</v>
      </c>
      <c r="R47" s="2">
        <v>1371</v>
      </c>
    </row>
    <row r="48" spans="1:18" x14ac:dyDescent="0.3">
      <c r="A48" t="s">
        <v>46</v>
      </c>
      <c r="B48" s="3" t="s">
        <v>91</v>
      </c>
      <c r="C48" t="s">
        <v>74</v>
      </c>
      <c r="D48" s="2">
        <v>30344</v>
      </c>
      <c r="E48" s="2">
        <v>2492</v>
      </c>
      <c r="F48" s="2">
        <v>27852</v>
      </c>
      <c r="G48" s="2">
        <v>5725</v>
      </c>
      <c r="H48" s="2">
        <v>22127</v>
      </c>
      <c r="I48" s="5">
        <v>1090</v>
      </c>
      <c r="J48" s="5">
        <v>364</v>
      </c>
      <c r="K48">
        <v>23336</v>
      </c>
      <c r="L48" s="5">
        <v>947</v>
      </c>
      <c r="M48" s="5">
        <v>183</v>
      </c>
      <c r="N48" s="2">
        <v>188</v>
      </c>
      <c r="O48" s="2">
        <v>10615</v>
      </c>
      <c r="P48" s="2">
        <v>3470</v>
      </c>
      <c r="Q48" s="2">
        <v>14632</v>
      </c>
      <c r="R48" s="2">
        <v>1439</v>
      </c>
    </row>
    <row r="49" spans="1:18" x14ac:dyDescent="0.3">
      <c r="A49" t="s">
        <v>72</v>
      </c>
      <c r="B49" s="3" t="s">
        <v>91</v>
      </c>
      <c r="C49" t="s">
        <v>74</v>
      </c>
      <c r="D49" s="2">
        <v>290109</v>
      </c>
      <c r="E49" s="2">
        <v>51635</v>
      </c>
      <c r="F49" s="2">
        <v>238474</v>
      </c>
      <c r="G49" s="2">
        <v>77734</v>
      </c>
      <c r="H49" s="2">
        <v>160740</v>
      </c>
      <c r="I49" s="5">
        <v>738</v>
      </c>
      <c r="J49" s="5">
        <v>343</v>
      </c>
      <c r="K49">
        <v>187093</v>
      </c>
      <c r="L49" s="5">
        <v>612</v>
      </c>
      <c r="M49" s="5">
        <v>146</v>
      </c>
      <c r="N49" s="2">
        <v>753</v>
      </c>
      <c r="O49" s="2">
        <v>86954</v>
      </c>
      <c r="P49" s="2">
        <v>49999</v>
      </c>
      <c r="Q49" s="2">
        <v>152403</v>
      </c>
      <c r="R49" s="2" t="s">
        <v>82</v>
      </c>
    </row>
    <row r="50" spans="1:18" x14ac:dyDescent="0.3">
      <c r="A50" t="s">
        <v>48</v>
      </c>
      <c r="B50" s="3" t="s">
        <v>91</v>
      </c>
      <c r="C50" t="s">
        <v>73</v>
      </c>
      <c r="D50" s="2">
        <v>291336</v>
      </c>
      <c r="E50" s="2">
        <v>39582</v>
      </c>
      <c r="F50" s="2">
        <v>251754</v>
      </c>
      <c r="G50" s="2">
        <v>172086</v>
      </c>
      <c r="H50" s="2">
        <v>79668</v>
      </c>
      <c r="I50" s="5">
        <v>784</v>
      </c>
      <c r="J50" s="5">
        <v>250</v>
      </c>
      <c r="K50">
        <v>228117</v>
      </c>
      <c r="L50" s="5">
        <v>681</v>
      </c>
      <c r="M50" s="5">
        <v>123</v>
      </c>
      <c r="N50" s="2">
        <v>1238</v>
      </c>
      <c r="O50" s="2">
        <v>172872</v>
      </c>
      <c r="P50" s="2">
        <v>96777</v>
      </c>
      <c r="Q50" s="2">
        <v>19614</v>
      </c>
      <c r="R50" s="2">
        <v>835</v>
      </c>
    </row>
    <row r="51" spans="1:18" x14ac:dyDescent="0.3">
      <c r="A51" t="s">
        <v>49</v>
      </c>
      <c r="B51" s="3" t="s">
        <v>91</v>
      </c>
      <c r="C51" t="s">
        <v>73</v>
      </c>
      <c r="D51" s="2">
        <v>55879</v>
      </c>
      <c r="E51" s="2">
        <v>6922</v>
      </c>
      <c r="F51" s="2">
        <v>48957</v>
      </c>
      <c r="G51" s="2">
        <v>22478</v>
      </c>
      <c r="H51" s="2">
        <v>26479</v>
      </c>
      <c r="I51" s="5">
        <v>1314</v>
      </c>
      <c r="J51" s="5">
        <v>208</v>
      </c>
      <c r="K51">
        <v>49659</v>
      </c>
      <c r="L51" s="5">
        <v>1244</v>
      </c>
      <c r="M51" s="5">
        <v>80</v>
      </c>
      <c r="N51" s="2" t="s">
        <v>82</v>
      </c>
      <c r="O51" s="2">
        <v>21474</v>
      </c>
      <c r="P51" s="2">
        <v>15875</v>
      </c>
      <c r="Q51" s="2">
        <v>17784</v>
      </c>
      <c r="R51" s="2" t="s">
        <v>82</v>
      </c>
    </row>
    <row r="52" spans="1:18" x14ac:dyDescent="0.3">
      <c r="A52" t="s">
        <v>50</v>
      </c>
      <c r="B52" s="3" t="s">
        <v>91</v>
      </c>
      <c r="C52" t="s">
        <v>73</v>
      </c>
      <c r="D52" s="2">
        <v>41545</v>
      </c>
      <c r="E52" s="2">
        <v>5503</v>
      </c>
      <c r="F52" s="2">
        <v>36042</v>
      </c>
      <c r="G52" s="2">
        <v>24360</v>
      </c>
      <c r="H52" s="2">
        <v>11682</v>
      </c>
      <c r="I52" s="5">
        <v>1217</v>
      </c>
      <c r="J52" s="5">
        <v>235</v>
      </c>
      <c r="K52">
        <v>36186</v>
      </c>
      <c r="L52" s="5">
        <v>1127</v>
      </c>
      <c r="M52" s="5">
        <v>88</v>
      </c>
      <c r="N52" s="2" t="s">
        <v>82</v>
      </c>
      <c r="O52" s="2">
        <v>14824</v>
      </c>
      <c r="P52" s="2">
        <v>9230</v>
      </c>
      <c r="Q52" s="2">
        <v>17491</v>
      </c>
      <c r="R52" s="2" t="s">
        <v>82</v>
      </c>
    </row>
    <row r="53" spans="1:18" x14ac:dyDescent="0.3">
      <c r="A53" t="s">
        <v>63</v>
      </c>
      <c r="B53" s="3" t="s">
        <v>91</v>
      </c>
      <c r="C53" t="s">
        <v>82</v>
      </c>
      <c r="D53" s="2">
        <f>SUM(D2:D52)</f>
        <v>23130860</v>
      </c>
      <c r="E53" s="2">
        <f t="shared" ref="E53:H53" si="0">SUM(E2:E52)</f>
        <v>3603771</v>
      </c>
      <c r="F53" s="2">
        <f t="shared" si="0"/>
        <v>19527089</v>
      </c>
      <c r="G53" s="2">
        <f t="shared" si="0"/>
        <v>10714902</v>
      </c>
      <c r="H53" s="2">
        <f t="shared" si="0"/>
        <v>8812187</v>
      </c>
      <c r="I53" s="5">
        <v>741</v>
      </c>
      <c r="J53" s="5">
        <v>178</v>
      </c>
      <c r="K53" s="2">
        <f>SUM(K2:K52)</f>
        <v>20035756</v>
      </c>
      <c r="L53" s="5">
        <v>650</v>
      </c>
      <c r="M53" s="5">
        <v>96</v>
      </c>
      <c r="N53" s="2">
        <v>67489</v>
      </c>
      <c r="O53" s="2">
        <v>9151919</v>
      </c>
      <c r="P53" s="2">
        <v>9847273</v>
      </c>
      <c r="Q53" s="2">
        <v>3968289</v>
      </c>
      <c r="R53" s="2">
        <v>95890</v>
      </c>
    </row>
    <row r="54" spans="1:18" x14ac:dyDescent="0.3">
      <c r="A54" t="s">
        <v>0</v>
      </c>
      <c r="B54" s="3">
        <v>46023</v>
      </c>
      <c r="C54" t="s">
        <v>73</v>
      </c>
      <c r="D54" s="2">
        <v>23000</v>
      </c>
      <c r="E54" s="2"/>
      <c r="F54" s="2"/>
      <c r="G54" s="2"/>
      <c r="H54" s="5"/>
      <c r="I54" s="5"/>
      <c r="J54" s="2"/>
      <c r="K54" s="5"/>
      <c r="L54" s="5"/>
      <c r="M54" s="2"/>
      <c r="N54" s="2"/>
      <c r="O54" s="2"/>
      <c r="P54" s="2"/>
      <c r="Q54" s="2"/>
    </row>
    <row r="55" spans="1:18" x14ac:dyDescent="0.3">
      <c r="A55" t="s">
        <v>1</v>
      </c>
      <c r="B55" s="3">
        <v>46023</v>
      </c>
      <c r="C55" t="s">
        <v>73</v>
      </c>
      <c r="D55" s="2">
        <v>392275</v>
      </c>
      <c r="E55" s="2"/>
      <c r="F55" s="2"/>
      <c r="G55" s="2"/>
      <c r="H55" s="5"/>
      <c r="I55" s="5"/>
      <c r="J55" s="2"/>
      <c r="K55" s="5"/>
      <c r="L55" s="5"/>
      <c r="M55" s="2"/>
      <c r="N55" s="2"/>
      <c r="O55" s="2"/>
      <c r="P55" s="2"/>
      <c r="Q55" s="2"/>
    </row>
    <row r="56" spans="1:18" x14ac:dyDescent="0.3">
      <c r="A56" t="s">
        <v>2</v>
      </c>
      <c r="B56" s="3">
        <v>46023</v>
      </c>
      <c r="C56" t="s">
        <v>73</v>
      </c>
      <c r="D56" s="2">
        <v>133280</v>
      </c>
      <c r="E56" s="2"/>
      <c r="F56" s="2"/>
      <c r="G56" s="2"/>
      <c r="H56" s="5"/>
      <c r="I56" s="5"/>
      <c r="J56" s="2"/>
      <c r="K56" s="5"/>
      <c r="L56" s="5"/>
      <c r="M56" s="2"/>
      <c r="N56" s="2"/>
      <c r="O56" s="2"/>
      <c r="P56" s="2"/>
      <c r="Q56" s="2"/>
    </row>
    <row r="57" spans="1:18" x14ac:dyDescent="0.3">
      <c r="A57" t="s">
        <v>3</v>
      </c>
      <c r="B57" s="3">
        <v>46023</v>
      </c>
      <c r="C57" t="s">
        <v>73</v>
      </c>
      <c r="D57" s="2">
        <v>293314</v>
      </c>
      <c r="E57" s="2"/>
      <c r="F57" s="2"/>
      <c r="G57" s="2"/>
      <c r="H57" s="5"/>
      <c r="I57" s="5"/>
      <c r="J57" s="2"/>
      <c r="K57" s="5"/>
      <c r="L57" s="5"/>
      <c r="M57" s="2"/>
      <c r="N57" s="2"/>
      <c r="O57" s="2"/>
      <c r="P57" s="2"/>
      <c r="Q57" s="2"/>
    </row>
    <row r="58" spans="1:18" x14ac:dyDescent="0.3">
      <c r="A58" t="s">
        <v>65</v>
      </c>
      <c r="B58" s="3">
        <v>46023</v>
      </c>
      <c r="C58" t="s">
        <v>74</v>
      </c>
      <c r="D58" s="2">
        <v>1861308</v>
      </c>
      <c r="E58" s="2"/>
      <c r="F58" s="2"/>
      <c r="G58" s="2"/>
      <c r="H58" s="5"/>
      <c r="I58" s="5"/>
      <c r="J58" s="2"/>
      <c r="K58" s="5"/>
      <c r="L58" s="5"/>
      <c r="M58" s="2"/>
      <c r="N58" s="2"/>
      <c r="O58" s="2"/>
      <c r="P58" s="2"/>
      <c r="Q58" s="2"/>
    </row>
    <row r="59" spans="1:18" x14ac:dyDescent="0.3">
      <c r="A59" t="s">
        <v>66</v>
      </c>
      <c r="B59" s="3">
        <v>46023</v>
      </c>
      <c r="C59" t="s">
        <v>74</v>
      </c>
      <c r="D59" s="2">
        <v>231903</v>
      </c>
      <c r="E59" s="2"/>
      <c r="F59" s="2"/>
      <c r="G59" s="2"/>
      <c r="H59" s="5"/>
      <c r="I59" s="5"/>
      <c r="J59" s="2"/>
      <c r="K59" s="5"/>
      <c r="L59" s="5"/>
      <c r="M59" s="2"/>
      <c r="N59" s="2"/>
      <c r="O59" s="2"/>
      <c r="P59" s="2"/>
      <c r="Q59" s="2"/>
    </row>
    <row r="60" spans="1:18" x14ac:dyDescent="0.3">
      <c r="A60" t="s">
        <v>67</v>
      </c>
      <c r="B60" s="3">
        <v>46023</v>
      </c>
      <c r="C60" t="s">
        <v>74</v>
      </c>
      <c r="D60" s="2">
        <v>138457</v>
      </c>
      <c r="E60" s="2"/>
      <c r="F60" s="2"/>
      <c r="G60" s="2"/>
      <c r="H60" s="5"/>
      <c r="I60" s="5"/>
      <c r="J60" s="2"/>
      <c r="K60" s="5"/>
      <c r="L60" s="5"/>
      <c r="M60" s="2"/>
      <c r="N60" s="2"/>
      <c r="O60" s="2"/>
      <c r="P60" s="2"/>
      <c r="Q60" s="2"/>
    </row>
    <row r="61" spans="1:18" x14ac:dyDescent="0.3">
      <c r="A61" t="s">
        <v>68</v>
      </c>
      <c r="B61" s="3">
        <v>46023</v>
      </c>
      <c r="C61" t="s">
        <v>74</v>
      </c>
      <c r="D61" s="2">
        <v>12784</v>
      </c>
      <c r="E61" s="2"/>
      <c r="F61" s="2"/>
      <c r="G61" s="2"/>
      <c r="H61" s="5"/>
      <c r="I61" s="5"/>
      <c r="J61" s="2"/>
      <c r="K61" s="5"/>
      <c r="L61" s="5"/>
      <c r="M61" s="2"/>
      <c r="N61" s="2"/>
      <c r="O61" s="2"/>
      <c r="P61" s="2"/>
      <c r="Q61" s="2"/>
    </row>
    <row r="62" spans="1:18" x14ac:dyDescent="0.3">
      <c r="A62" t="s">
        <v>8</v>
      </c>
      <c r="B62" s="3">
        <v>46023</v>
      </c>
      <c r="C62" t="s">
        <v>73</v>
      </c>
      <c r="D62" s="2">
        <v>38391</v>
      </c>
      <c r="E62" s="2"/>
      <c r="F62" s="2"/>
      <c r="G62" s="2"/>
      <c r="H62" s="5"/>
      <c r="I62" s="5"/>
      <c r="J62" s="2"/>
      <c r="K62" s="5"/>
      <c r="L62" s="5"/>
      <c r="M62" s="2"/>
      <c r="N62" s="2"/>
      <c r="O62" s="2"/>
      <c r="P62" s="2"/>
      <c r="Q62" s="2"/>
    </row>
    <row r="63" spans="1:18" x14ac:dyDescent="0.3">
      <c r="A63" t="s">
        <v>9</v>
      </c>
      <c r="B63" s="3">
        <v>46023</v>
      </c>
      <c r="C63" t="s">
        <v>73</v>
      </c>
      <c r="D63" s="2">
        <v>4011394</v>
      </c>
      <c r="E63" s="2"/>
      <c r="F63" s="2"/>
      <c r="G63" s="2"/>
      <c r="H63" s="5"/>
      <c r="I63" s="5"/>
      <c r="J63" s="2"/>
      <c r="K63" s="5"/>
      <c r="L63" s="5"/>
      <c r="M63" s="2"/>
      <c r="N63" s="2"/>
      <c r="O63" s="2"/>
      <c r="P63" s="2"/>
      <c r="Q63" s="2"/>
    </row>
    <row r="64" spans="1:18" x14ac:dyDescent="0.3">
      <c r="A64" t="s">
        <v>10</v>
      </c>
      <c r="B64" s="3">
        <v>46023</v>
      </c>
      <c r="C64" t="s">
        <v>74</v>
      </c>
      <c r="D64" s="2">
        <v>1112774</v>
      </c>
      <c r="E64" s="2"/>
      <c r="F64" s="2"/>
      <c r="G64" s="2"/>
      <c r="H64" s="5"/>
      <c r="I64" s="5"/>
      <c r="J64" s="2"/>
      <c r="K64" s="5"/>
      <c r="L64" s="5"/>
      <c r="M64" s="2"/>
      <c r="N64" s="2"/>
      <c r="O64" s="2"/>
      <c r="P64" s="2"/>
      <c r="Q64" s="2"/>
    </row>
    <row r="65" spans="1:17" x14ac:dyDescent="0.3">
      <c r="A65" t="s">
        <v>11</v>
      </c>
      <c r="B65" s="3">
        <v>46023</v>
      </c>
      <c r="C65" t="s">
        <v>73</v>
      </c>
      <c r="D65" s="2">
        <v>20328</v>
      </c>
      <c r="E65" s="2"/>
      <c r="F65" s="2"/>
      <c r="G65" s="2"/>
      <c r="H65" s="5"/>
      <c r="I65" s="5"/>
      <c r="J65" s="2"/>
      <c r="K65" s="5"/>
      <c r="L65" s="5"/>
      <c r="M65" s="2"/>
      <c r="N65" s="2"/>
      <c r="O65" s="2"/>
      <c r="P65" s="2"/>
      <c r="Q65" s="2"/>
    </row>
    <row r="66" spans="1:17" x14ac:dyDescent="0.3">
      <c r="A66" t="s">
        <v>12</v>
      </c>
      <c r="B66" s="3">
        <v>46023</v>
      </c>
      <c r="C66" t="s">
        <v>73</v>
      </c>
      <c r="D66" s="2">
        <v>111634</v>
      </c>
      <c r="E66" s="2"/>
      <c r="F66" s="2"/>
      <c r="G66" s="2"/>
      <c r="H66" s="5"/>
      <c r="I66" s="5"/>
      <c r="J66" s="2"/>
      <c r="K66" s="5"/>
      <c r="L66" s="5"/>
      <c r="M66" s="2"/>
      <c r="N66" s="2"/>
      <c r="O66" s="2"/>
      <c r="P66" s="2"/>
      <c r="Q66" s="2"/>
    </row>
    <row r="67" spans="1:17" x14ac:dyDescent="0.3">
      <c r="A67" t="s">
        <v>69</v>
      </c>
      <c r="B67" s="3">
        <v>46023</v>
      </c>
      <c r="C67" t="s">
        <v>74</v>
      </c>
      <c r="D67" s="2">
        <v>114819</v>
      </c>
      <c r="E67" s="2"/>
      <c r="F67" s="2"/>
      <c r="G67" s="2"/>
      <c r="H67" s="5"/>
      <c r="I67" s="5"/>
      <c r="J67" s="2"/>
      <c r="K67" s="5"/>
      <c r="L67" s="5"/>
      <c r="M67" s="2"/>
      <c r="N67" s="2"/>
      <c r="O67" s="2"/>
      <c r="P67" s="2"/>
      <c r="Q67" s="2"/>
    </row>
    <row r="68" spans="1:17" x14ac:dyDescent="0.3">
      <c r="A68" t="s">
        <v>14</v>
      </c>
      <c r="B68" s="3">
        <v>46023</v>
      </c>
      <c r="C68" t="s">
        <v>74</v>
      </c>
      <c r="D68" s="2">
        <v>404942</v>
      </c>
      <c r="E68" s="2"/>
      <c r="F68" s="2"/>
      <c r="G68" s="2"/>
      <c r="H68" s="5"/>
      <c r="I68" s="5"/>
      <c r="J68" s="2"/>
      <c r="K68" s="5"/>
      <c r="L68" s="5"/>
      <c r="M68" s="2"/>
      <c r="N68" s="2"/>
      <c r="O68" s="2"/>
      <c r="P68" s="2"/>
      <c r="Q68" s="2"/>
    </row>
    <row r="69" spans="1:17" x14ac:dyDescent="0.3">
      <c r="A69" t="s">
        <v>15</v>
      </c>
      <c r="B69" s="3">
        <v>46023</v>
      </c>
      <c r="C69" t="s">
        <v>73</v>
      </c>
      <c r="D69" s="2">
        <v>256548</v>
      </c>
      <c r="E69" s="2"/>
      <c r="F69" s="2"/>
      <c r="G69" s="2"/>
      <c r="H69" s="5"/>
      <c r="I69" s="5"/>
      <c r="J69" s="2"/>
      <c r="K69" s="5"/>
      <c r="L69" s="5"/>
      <c r="M69" s="2"/>
      <c r="N69" s="2"/>
      <c r="O69" s="2"/>
      <c r="P69" s="2"/>
      <c r="Q69" s="2"/>
    </row>
    <row r="70" spans="1:17" x14ac:dyDescent="0.3">
      <c r="A70" t="s">
        <v>16</v>
      </c>
      <c r="B70" s="3">
        <v>46023</v>
      </c>
      <c r="C70" t="s">
        <v>73</v>
      </c>
      <c r="D70" s="2">
        <v>165435</v>
      </c>
      <c r="E70" s="2"/>
      <c r="F70" s="2"/>
      <c r="G70" s="2"/>
      <c r="H70" s="5"/>
      <c r="I70" s="5"/>
      <c r="J70" s="2"/>
      <c r="K70" s="5"/>
      <c r="L70" s="5"/>
      <c r="M70" s="2"/>
      <c r="N70" s="2"/>
      <c r="O70" s="2"/>
      <c r="P70" s="2"/>
      <c r="Q70" s="2"/>
    </row>
    <row r="71" spans="1:17" x14ac:dyDescent="0.3">
      <c r="A71" t="s">
        <v>17</v>
      </c>
      <c r="B71" s="3">
        <v>46023</v>
      </c>
      <c r="C71" t="s">
        <v>74</v>
      </c>
      <c r="D71" s="2">
        <v>73940</v>
      </c>
      <c r="E71" s="2"/>
      <c r="F71" s="2"/>
      <c r="G71" s="2"/>
      <c r="H71" s="5"/>
      <c r="I71" s="5"/>
      <c r="J71" s="2"/>
      <c r="K71" s="5"/>
      <c r="L71" s="5"/>
      <c r="M71" s="2"/>
      <c r="N71" s="2"/>
      <c r="O71" s="2"/>
      <c r="P71" s="2"/>
      <c r="Q71" s="2"/>
    </row>
    <row r="72" spans="1:17" x14ac:dyDescent="0.3">
      <c r="A72" t="s">
        <v>18</v>
      </c>
      <c r="B72" s="3">
        <v>46023</v>
      </c>
      <c r="C72" t="s">
        <v>73</v>
      </c>
      <c r="D72" s="2">
        <v>259591</v>
      </c>
      <c r="E72" s="2"/>
      <c r="F72" s="2"/>
      <c r="G72" s="2"/>
      <c r="H72" s="5"/>
      <c r="I72" s="5"/>
      <c r="J72" s="2"/>
      <c r="K72" s="5"/>
      <c r="L72" s="5"/>
      <c r="M72" s="2"/>
      <c r="N72" s="2"/>
      <c r="O72" s="2"/>
      <c r="P72" s="2"/>
      <c r="Q72" s="2"/>
    </row>
    <row r="73" spans="1:17" x14ac:dyDescent="0.3">
      <c r="A73" t="s">
        <v>70</v>
      </c>
      <c r="B73" s="3">
        <v>46023</v>
      </c>
      <c r="C73" t="s">
        <v>74</v>
      </c>
      <c r="D73" s="2">
        <v>325683</v>
      </c>
      <c r="E73" s="2"/>
      <c r="F73" s="2"/>
      <c r="G73" s="2"/>
      <c r="H73" s="5"/>
      <c r="I73" s="5"/>
      <c r="J73" s="2"/>
      <c r="K73" s="5"/>
      <c r="L73" s="5"/>
      <c r="M73" s="2"/>
      <c r="N73" s="2"/>
      <c r="O73" s="2"/>
      <c r="P73" s="2"/>
      <c r="Q73" s="2"/>
    </row>
    <row r="74" spans="1:17" x14ac:dyDescent="0.3">
      <c r="A74" t="s">
        <v>20</v>
      </c>
      <c r="B74" s="3">
        <v>46023</v>
      </c>
      <c r="C74" t="s">
        <v>74</v>
      </c>
      <c r="D74" s="2">
        <v>230300</v>
      </c>
      <c r="E74" s="2"/>
      <c r="F74" s="2"/>
      <c r="G74" s="2"/>
      <c r="H74" s="5"/>
      <c r="I74" s="5"/>
      <c r="J74" s="2"/>
      <c r="K74" s="5"/>
      <c r="L74" s="5"/>
      <c r="M74" s="2"/>
      <c r="N74" s="2"/>
      <c r="O74" s="2"/>
      <c r="P74" s="2"/>
      <c r="Q74" s="2"/>
    </row>
    <row r="75" spans="1:17" x14ac:dyDescent="0.3">
      <c r="A75" t="s">
        <v>21</v>
      </c>
      <c r="B75" s="3">
        <v>46023</v>
      </c>
      <c r="C75" t="s">
        <v>74</v>
      </c>
      <c r="D75" s="2">
        <v>53606</v>
      </c>
      <c r="E75" s="2"/>
      <c r="F75" s="2"/>
      <c r="G75" s="2"/>
      <c r="H75" s="5"/>
      <c r="I75" s="5"/>
      <c r="J75" s="2"/>
      <c r="K75" s="5"/>
      <c r="L75" s="5"/>
      <c r="M75" s="2"/>
      <c r="N75" s="2"/>
      <c r="O75" s="2"/>
      <c r="P75" s="2"/>
      <c r="Q75" s="2"/>
    </row>
    <row r="76" spans="1:17" x14ac:dyDescent="0.3">
      <c r="A76" t="s">
        <v>22</v>
      </c>
      <c r="B76" s="3">
        <v>46023</v>
      </c>
      <c r="C76" t="s">
        <v>73</v>
      </c>
      <c r="D76" s="2">
        <v>366880</v>
      </c>
      <c r="E76" s="2"/>
      <c r="F76" s="2"/>
      <c r="G76" s="2"/>
      <c r="H76" s="5"/>
      <c r="I76" s="5"/>
      <c r="J76" s="2"/>
      <c r="K76" s="5"/>
      <c r="L76" s="5"/>
      <c r="M76" s="2"/>
      <c r="N76" s="2"/>
      <c r="O76" s="2"/>
      <c r="P76" s="2"/>
      <c r="Q76" s="2"/>
    </row>
    <row r="77" spans="1:17" x14ac:dyDescent="0.3">
      <c r="A77" t="s">
        <v>23</v>
      </c>
      <c r="B77" s="3">
        <v>46023</v>
      </c>
      <c r="C77" t="s">
        <v>74</v>
      </c>
      <c r="D77" s="2">
        <v>98472</v>
      </c>
      <c r="E77" s="2"/>
      <c r="F77" s="2"/>
      <c r="G77" s="2"/>
      <c r="H77" s="5"/>
      <c r="I77" s="5"/>
      <c r="J77" s="2"/>
      <c r="K77" s="5"/>
      <c r="L77" s="5"/>
      <c r="M77" s="2"/>
      <c r="N77" s="2"/>
      <c r="O77" s="2"/>
      <c r="P77" s="2"/>
      <c r="Q77" s="2"/>
    </row>
    <row r="78" spans="1:17" x14ac:dyDescent="0.3">
      <c r="A78" t="s">
        <v>24</v>
      </c>
      <c r="B78" s="3">
        <v>46023</v>
      </c>
      <c r="C78" t="s">
        <v>73</v>
      </c>
      <c r="D78" s="2">
        <v>314024</v>
      </c>
      <c r="E78" s="2"/>
      <c r="F78" s="2"/>
      <c r="G78" s="2"/>
      <c r="H78" s="5"/>
      <c r="I78" s="5"/>
      <c r="J78" s="2"/>
      <c r="K78" s="5"/>
      <c r="L78" s="5"/>
      <c r="M78" s="2"/>
      <c r="N78" s="2"/>
      <c r="O78" s="2"/>
      <c r="P78" s="2"/>
      <c r="Q78" s="2"/>
    </row>
    <row r="79" spans="1:17" x14ac:dyDescent="0.3">
      <c r="A79" t="s">
        <v>25</v>
      </c>
      <c r="B79" s="3">
        <v>46023</v>
      </c>
      <c r="C79" t="s">
        <v>73</v>
      </c>
      <c r="D79" s="2">
        <v>255342</v>
      </c>
      <c r="E79" s="2"/>
      <c r="F79" s="2"/>
      <c r="G79" s="2"/>
      <c r="H79" s="5"/>
      <c r="I79" s="5"/>
      <c r="J79" s="2"/>
      <c r="K79" s="5"/>
      <c r="L79" s="5"/>
      <c r="M79" s="2"/>
      <c r="N79" s="2"/>
      <c r="O79" s="2"/>
      <c r="P79" s="2"/>
      <c r="Q79" s="2"/>
    </row>
    <row r="80" spans="1:17" x14ac:dyDescent="0.3">
      <c r="A80" t="s">
        <v>26</v>
      </c>
      <c r="B80" s="3">
        <v>46023</v>
      </c>
      <c r="C80" t="s">
        <v>73</v>
      </c>
      <c r="D80" s="2">
        <v>65993</v>
      </c>
      <c r="E80" s="2"/>
      <c r="F80" s="2"/>
      <c r="G80" s="2"/>
      <c r="H80" s="5"/>
      <c r="I80" s="5"/>
      <c r="J80" s="2"/>
      <c r="K80" s="5"/>
      <c r="L80" s="5"/>
      <c r="M80" s="2"/>
      <c r="N80" s="2"/>
      <c r="O80" s="2"/>
      <c r="P80" s="2"/>
      <c r="Q80" s="2"/>
    </row>
    <row r="81" spans="1:17" x14ac:dyDescent="0.3">
      <c r="A81" t="s">
        <v>27</v>
      </c>
      <c r="B81" s="3">
        <v>46023</v>
      </c>
      <c r="C81" t="s">
        <v>73</v>
      </c>
      <c r="D81" s="2">
        <v>651513</v>
      </c>
      <c r="E81" s="2"/>
      <c r="F81" s="2"/>
      <c r="G81" s="2"/>
      <c r="H81" s="5"/>
      <c r="I81" s="5"/>
      <c r="J81" s="2"/>
      <c r="K81" s="5"/>
      <c r="L81" s="5"/>
      <c r="M81" s="2"/>
      <c r="N81" s="2"/>
      <c r="O81" s="2"/>
      <c r="P81" s="2"/>
      <c r="Q81" s="2"/>
    </row>
    <row r="82" spans="1:17" x14ac:dyDescent="0.3">
      <c r="A82" t="s">
        <v>28</v>
      </c>
      <c r="B82" s="3">
        <v>46023</v>
      </c>
      <c r="C82" t="s">
        <v>73</v>
      </c>
      <c r="D82" s="2">
        <v>37690</v>
      </c>
      <c r="E82" s="2"/>
      <c r="F82" s="2"/>
      <c r="G82" s="2"/>
      <c r="H82" s="5"/>
      <c r="I82" s="5"/>
      <c r="J82" s="2"/>
      <c r="K82" s="5"/>
      <c r="L82" s="5"/>
      <c r="M82" s="2"/>
      <c r="N82" s="2"/>
      <c r="O82" s="2"/>
      <c r="P82" s="2"/>
      <c r="Q82" s="2"/>
    </row>
    <row r="83" spans="1:17" x14ac:dyDescent="0.3">
      <c r="A83" t="s">
        <v>29</v>
      </c>
      <c r="B83" s="3">
        <v>46023</v>
      </c>
      <c r="C83" t="s">
        <v>73</v>
      </c>
      <c r="D83" s="2">
        <v>98922</v>
      </c>
      <c r="E83" s="2"/>
      <c r="F83" s="2"/>
      <c r="G83" s="2"/>
      <c r="H83" s="5"/>
      <c r="I83" s="5"/>
      <c r="J83" s="2"/>
      <c r="K83" s="5"/>
      <c r="L83" s="5"/>
      <c r="M83" s="2"/>
      <c r="N83" s="2"/>
      <c r="O83" s="2"/>
      <c r="P83" s="2"/>
      <c r="Q83" s="2"/>
    </row>
    <row r="84" spans="1:17" x14ac:dyDescent="0.3">
      <c r="A84" t="s">
        <v>30</v>
      </c>
      <c r="B84" s="3">
        <v>46023</v>
      </c>
      <c r="C84" t="s">
        <v>73</v>
      </c>
      <c r="D84" s="2">
        <v>58541</v>
      </c>
      <c r="E84" s="2"/>
      <c r="F84" s="2"/>
      <c r="G84" s="2"/>
      <c r="H84" s="5"/>
      <c r="I84" s="5"/>
      <c r="J84" s="2"/>
      <c r="K84" s="5"/>
      <c r="L84" s="5"/>
      <c r="M84" s="2"/>
      <c r="N84" s="2"/>
      <c r="O84" s="2"/>
      <c r="P84" s="2"/>
      <c r="Q84" s="2"/>
    </row>
    <row r="85" spans="1:17" x14ac:dyDescent="0.3">
      <c r="A85" t="s">
        <v>31</v>
      </c>
      <c r="B85" s="3">
        <v>46023</v>
      </c>
      <c r="C85" t="s">
        <v>74</v>
      </c>
      <c r="D85" s="2">
        <v>447676</v>
      </c>
      <c r="E85" s="2"/>
      <c r="F85" s="2"/>
      <c r="G85" s="2"/>
      <c r="H85" s="5"/>
      <c r="I85" s="5"/>
      <c r="J85" s="2"/>
      <c r="K85" s="5"/>
      <c r="L85" s="5"/>
      <c r="M85" s="2"/>
      <c r="N85" s="2"/>
      <c r="O85" s="2"/>
      <c r="P85" s="2"/>
      <c r="Q85" s="2"/>
    </row>
    <row r="86" spans="1:17" x14ac:dyDescent="0.3">
      <c r="A86" t="s">
        <v>32</v>
      </c>
      <c r="B86" s="3">
        <v>46023</v>
      </c>
      <c r="C86" t="s">
        <v>74</v>
      </c>
      <c r="D86" s="2">
        <v>76511</v>
      </c>
      <c r="E86" s="2"/>
      <c r="F86" s="2"/>
      <c r="G86" s="2"/>
      <c r="H86" s="5"/>
      <c r="I86" s="5"/>
      <c r="J86" s="2"/>
      <c r="K86" s="5"/>
      <c r="L86" s="5"/>
      <c r="M86" s="2"/>
      <c r="N86" s="2"/>
      <c r="O86" s="2"/>
      <c r="P86" s="2"/>
      <c r="Q86" s="2"/>
    </row>
    <row r="87" spans="1:17" x14ac:dyDescent="0.3">
      <c r="A87" t="s">
        <v>33</v>
      </c>
      <c r="B87" s="3">
        <v>46023</v>
      </c>
      <c r="C87" t="s">
        <v>74</v>
      </c>
      <c r="D87" s="2">
        <v>95841</v>
      </c>
      <c r="E87" s="2"/>
      <c r="F87" s="2"/>
      <c r="G87" s="2"/>
      <c r="H87" s="5"/>
      <c r="I87" s="5"/>
      <c r="J87" s="2"/>
      <c r="K87" s="5"/>
      <c r="L87" s="5"/>
      <c r="M87" s="2"/>
      <c r="N87" s="2"/>
      <c r="O87" s="2"/>
      <c r="P87" s="2"/>
      <c r="Q87" s="2"/>
    </row>
    <row r="88" spans="1:17" x14ac:dyDescent="0.3">
      <c r="A88" t="s">
        <v>34</v>
      </c>
      <c r="B88" s="3">
        <v>46023</v>
      </c>
      <c r="C88" t="s">
        <v>74</v>
      </c>
      <c r="D88" s="2">
        <v>179443</v>
      </c>
      <c r="E88" s="2"/>
      <c r="F88" s="2"/>
      <c r="G88" s="2"/>
      <c r="H88" s="5"/>
      <c r="I88" s="5"/>
      <c r="J88" s="2"/>
      <c r="K88" s="5"/>
      <c r="L88" s="5"/>
      <c r="M88" s="2"/>
      <c r="N88" s="2"/>
      <c r="O88" s="2"/>
      <c r="P88" s="2"/>
      <c r="Q88" s="2"/>
    </row>
    <row r="89" spans="1:17" x14ac:dyDescent="0.3">
      <c r="A89" t="s">
        <v>35</v>
      </c>
      <c r="B89" s="3">
        <v>46023</v>
      </c>
      <c r="C89" t="s">
        <v>73</v>
      </c>
      <c r="D89" s="2">
        <v>405517</v>
      </c>
      <c r="E89" s="2"/>
      <c r="F89" s="2"/>
      <c r="G89" s="2"/>
      <c r="H89" s="5"/>
      <c r="I89" s="5"/>
      <c r="J89" s="2"/>
      <c r="K89" s="5"/>
      <c r="L89" s="5"/>
      <c r="M89" s="2"/>
      <c r="N89" s="2"/>
      <c r="O89" s="2"/>
      <c r="P89" s="2"/>
      <c r="Q89" s="2"/>
    </row>
    <row r="90" spans="1:17" x14ac:dyDescent="0.3">
      <c r="A90" t="s">
        <v>36</v>
      </c>
      <c r="B90" s="3">
        <v>46023</v>
      </c>
      <c r="C90" t="s">
        <v>73</v>
      </c>
      <c r="D90" s="2">
        <v>227215</v>
      </c>
      <c r="E90" s="2"/>
      <c r="F90" s="2"/>
      <c r="G90" s="2"/>
      <c r="H90" s="5"/>
      <c r="I90" s="5"/>
      <c r="J90" s="2"/>
      <c r="K90" s="5"/>
      <c r="L90" s="5"/>
      <c r="M90" s="2"/>
      <c r="N90" s="2"/>
      <c r="O90" s="2"/>
      <c r="P90" s="2"/>
      <c r="Q90" s="2"/>
    </row>
    <row r="91" spans="1:17" x14ac:dyDescent="0.3">
      <c r="A91" t="s">
        <v>37</v>
      </c>
      <c r="B91" s="3">
        <v>46023</v>
      </c>
      <c r="C91" t="s">
        <v>73</v>
      </c>
      <c r="D91" s="2">
        <v>106427</v>
      </c>
      <c r="E91" s="2"/>
      <c r="F91" s="2"/>
      <c r="G91" s="2"/>
      <c r="H91" s="5"/>
      <c r="I91" s="5"/>
      <c r="J91" s="2"/>
      <c r="K91" s="5"/>
      <c r="L91" s="5"/>
      <c r="M91" s="2"/>
      <c r="N91" s="2"/>
      <c r="O91" s="2"/>
      <c r="P91" s="2"/>
      <c r="Q91" s="2"/>
    </row>
    <row r="92" spans="1:17" x14ac:dyDescent="0.3">
      <c r="A92" t="s">
        <v>38</v>
      </c>
      <c r="B92" s="3">
        <v>46023</v>
      </c>
      <c r="C92" t="s">
        <v>74</v>
      </c>
      <c r="D92" s="2">
        <v>462778</v>
      </c>
      <c r="E92" s="2"/>
      <c r="F92" s="2"/>
      <c r="G92" s="2"/>
      <c r="H92" s="5"/>
      <c r="I92" s="5"/>
      <c r="J92" s="2"/>
      <c r="K92" s="5"/>
      <c r="L92" s="5"/>
      <c r="M92" s="2"/>
      <c r="N92" s="2"/>
      <c r="O92" s="2"/>
      <c r="P92" s="2"/>
      <c r="Q92" s="2"/>
    </row>
    <row r="93" spans="1:17" x14ac:dyDescent="0.3">
      <c r="A93" t="s">
        <v>71</v>
      </c>
      <c r="B93" s="3">
        <v>46023</v>
      </c>
      <c r="C93" t="s">
        <v>74</v>
      </c>
      <c r="D93" s="2">
        <v>34973</v>
      </c>
      <c r="E93" s="2"/>
      <c r="F93" s="2"/>
      <c r="G93" s="2"/>
      <c r="H93" s="5"/>
      <c r="I93" s="5"/>
      <c r="J93" s="2"/>
      <c r="K93" s="5"/>
      <c r="L93" s="5"/>
      <c r="M93" s="2"/>
      <c r="N93" s="2"/>
      <c r="O93" s="2"/>
      <c r="P93" s="2"/>
      <c r="Q93" s="2"/>
    </row>
    <row r="94" spans="1:17" x14ac:dyDescent="0.3">
      <c r="A94" t="s">
        <v>40</v>
      </c>
      <c r="B94" s="3">
        <v>46023</v>
      </c>
      <c r="C94" t="s">
        <v>73</v>
      </c>
      <c r="D94" s="2">
        <v>490321</v>
      </c>
      <c r="E94" s="2"/>
      <c r="F94" s="2"/>
      <c r="G94" s="2"/>
      <c r="H94" s="5"/>
      <c r="I94" s="5"/>
      <c r="J94" s="2"/>
      <c r="K94" s="5"/>
      <c r="L94" s="5"/>
      <c r="M94" s="2"/>
      <c r="N94" s="2"/>
      <c r="O94" s="2"/>
      <c r="P94" s="2"/>
      <c r="Q94" s="2"/>
    </row>
    <row r="95" spans="1:17" x14ac:dyDescent="0.3">
      <c r="A95" t="s">
        <v>41</v>
      </c>
      <c r="B95" s="3">
        <v>46023</v>
      </c>
      <c r="C95" t="s">
        <v>73</v>
      </c>
      <c r="D95" s="2">
        <v>46329</v>
      </c>
      <c r="E95" s="2"/>
      <c r="F95" s="2"/>
      <c r="G95" s="2"/>
      <c r="H95" s="5"/>
      <c r="I95" s="5"/>
      <c r="J95" s="2"/>
      <c r="K95" s="5"/>
      <c r="L95" s="5"/>
      <c r="M95" s="2"/>
      <c r="N95" s="2"/>
      <c r="O95" s="2"/>
      <c r="P95" s="2"/>
      <c r="Q95" s="2"/>
    </row>
    <row r="96" spans="1:17" x14ac:dyDescent="0.3">
      <c r="A96" t="s">
        <v>42</v>
      </c>
      <c r="B96" s="3">
        <v>46023</v>
      </c>
      <c r="C96" t="s">
        <v>73</v>
      </c>
      <c r="D96" s="2">
        <v>496456</v>
      </c>
      <c r="E96" s="2"/>
      <c r="F96" s="2"/>
      <c r="G96" s="2"/>
      <c r="H96" s="5"/>
      <c r="I96" s="5"/>
      <c r="J96" s="2"/>
      <c r="K96" s="5"/>
      <c r="L96" s="5"/>
      <c r="M96" s="2"/>
      <c r="N96" s="2"/>
      <c r="O96" s="2"/>
      <c r="P96" s="2"/>
      <c r="Q96" s="2"/>
    </row>
    <row r="97" spans="1:18" x14ac:dyDescent="0.3">
      <c r="A97" t="s">
        <v>43</v>
      </c>
      <c r="B97" s="3">
        <v>46023</v>
      </c>
      <c r="C97" t="s">
        <v>73</v>
      </c>
      <c r="D97" s="2">
        <v>3607239</v>
      </c>
      <c r="E97" s="2"/>
      <c r="F97" s="2"/>
      <c r="G97" s="2"/>
      <c r="H97" s="5"/>
      <c r="I97" s="5"/>
      <c r="J97" s="2"/>
      <c r="K97" s="5"/>
      <c r="L97" s="5"/>
      <c r="M97" s="2"/>
      <c r="N97" s="2"/>
      <c r="O97" s="2"/>
      <c r="P97" s="2"/>
      <c r="Q97" s="2"/>
    </row>
    <row r="98" spans="1:18" x14ac:dyDescent="0.3">
      <c r="A98" t="s">
        <v>44</v>
      </c>
      <c r="B98" s="3">
        <v>46023</v>
      </c>
      <c r="C98" t="s">
        <v>73</v>
      </c>
      <c r="D98" s="2">
        <v>330357</v>
      </c>
      <c r="E98" s="2"/>
      <c r="F98" s="2"/>
      <c r="G98" s="2"/>
      <c r="H98" s="5"/>
      <c r="I98" s="5"/>
      <c r="J98" s="2"/>
      <c r="K98" s="5"/>
      <c r="L98" s="5"/>
      <c r="M98" s="2"/>
      <c r="N98" s="2"/>
      <c r="O98" s="2"/>
      <c r="P98" s="2"/>
      <c r="Q98" s="2"/>
    </row>
    <row r="99" spans="1:18" x14ac:dyDescent="0.3">
      <c r="A99" t="s">
        <v>45</v>
      </c>
      <c r="B99" s="3">
        <v>46023</v>
      </c>
      <c r="C99" t="s">
        <v>74</v>
      </c>
      <c r="D99" s="2">
        <v>342094</v>
      </c>
      <c r="E99" s="2"/>
      <c r="F99" s="2"/>
      <c r="G99" s="2"/>
      <c r="H99" s="5"/>
      <c r="I99" s="5"/>
      <c r="J99" s="2"/>
      <c r="K99" s="5"/>
      <c r="L99" s="5"/>
      <c r="M99" s="2"/>
      <c r="N99" s="2"/>
      <c r="O99" s="2"/>
      <c r="P99" s="2"/>
      <c r="Q99" s="2"/>
    </row>
    <row r="100" spans="1:18" x14ac:dyDescent="0.3">
      <c r="A100" t="s">
        <v>46</v>
      </c>
      <c r="B100" s="3">
        <v>46023</v>
      </c>
      <c r="C100" t="s">
        <v>74</v>
      </c>
      <c r="D100" s="2">
        <v>29120</v>
      </c>
      <c r="E100" s="2"/>
      <c r="F100" s="2"/>
      <c r="G100" s="2"/>
      <c r="H100" s="5"/>
      <c r="I100" s="5"/>
      <c r="J100" s="2"/>
      <c r="K100" s="5"/>
      <c r="L100" s="5"/>
      <c r="M100" s="2"/>
      <c r="N100" s="2"/>
      <c r="O100" s="2"/>
      <c r="P100" s="2"/>
      <c r="Q100" s="2"/>
    </row>
    <row r="101" spans="1:18" x14ac:dyDescent="0.3">
      <c r="A101" t="s">
        <v>72</v>
      </c>
      <c r="B101" s="3">
        <v>46023</v>
      </c>
      <c r="C101" t="s">
        <v>74</v>
      </c>
      <c r="D101" s="2">
        <v>258137</v>
      </c>
      <c r="E101" s="2"/>
      <c r="F101" s="2"/>
      <c r="G101" s="2"/>
      <c r="H101" s="5"/>
      <c r="I101" s="5"/>
      <c r="J101" s="2"/>
      <c r="K101" s="5"/>
      <c r="L101" s="5"/>
      <c r="M101" s="2"/>
      <c r="N101" s="2"/>
      <c r="O101" s="2"/>
      <c r="P101" s="2"/>
      <c r="Q101" s="2"/>
    </row>
    <row r="102" spans="1:18" x14ac:dyDescent="0.3">
      <c r="A102" t="s">
        <v>48</v>
      </c>
      <c r="B102" s="3">
        <v>46023</v>
      </c>
      <c r="C102" t="s">
        <v>73</v>
      </c>
      <c r="D102" s="2">
        <v>257619</v>
      </c>
      <c r="E102" s="2"/>
      <c r="F102" s="2"/>
      <c r="G102" s="2"/>
      <c r="H102" s="5"/>
      <c r="I102" s="5"/>
      <c r="J102" s="2"/>
      <c r="K102" s="5"/>
      <c r="L102" s="5"/>
      <c r="M102" s="2"/>
      <c r="N102" s="2"/>
      <c r="O102" s="2"/>
      <c r="P102" s="2"/>
      <c r="Q102" s="2"/>
    </row>
    <row r="103" spans="1:18" x14ac:dyDescent="0.3">
      <c r="A103" t="s">
        <v>49</v>
      </c>
      <c r="B103" s="3">
        <v>46023</v>
      </c>
      <c r="C103" t="s">
        <v>73</v>
      </c>
      <c r="D103" s="2">
        <v>48312</v>
      </c>
      <c r="E103" s="2"/>
      <c r="F103" s="2"/>
      <c r="G103" s="2"/>
      <c r="H103" s="5"/>
      <c r="I103" s="5"/>
      <c r="J103" s="2"/>
      <c r="K103" s="5"/>
      <c r="L103" s="5"/>
      <c r="M103" s="2"/>
      <c r="N103" s="2"/>
      <c r="O103" s="2"/>
      <c r="P103" s="2"/>
      <c r="Q103" s="2"/>
    </row>
    <row r="104" spans="1:18" x14ac:dyDescent="0.3">
      <c r="A104" t="s">
        <v>50</v>
      </c>
      <c r="B104" s="3">
        <v>46023</v>
      </c>
      <c r="C104" t="s">
        <v>73</v>
      </c>
      <c r="D104" s="2">
        <v>36011</v>
      </c>
      <c r="E104" s="2"/>
      <c r="F104" s="2"/>
      <c r="G104" s="2"/>
      <c r="H104" s="5"/>
      <c r="I104" s="5"/>
      <c r="J104" s="2"/>
      <c r="K104" s="5"/>
      <c r="L104" s="5"/>
      <c r="M104" s="2"/>
      <c r="N104" s="2"/>
      <c r="O104" s="2"/>
      <c r="P104" s="2"/>
      <c r="Q104" s="2"/>
    </row>
    <row r="105" spans="1:18" x14ac:dyDescent="0.3">
      <c r="A105" t="s">
        <v>63</v>
      </c>
      <c r="B105" s="3">
        <v>46023</v>
      </c>
      <c r="C105" t="s">
        <v>82</v>
      </c>
      <c r="D105" s="2">
        <f>SUM(D54:D104)</f>
        <v>20191459</v>
      </c>
      <c r="E105" s="2"/>
      <c r="F105" s="2"/>
      <c r="G105" s="2"/>
      <c r="H105" s="2"/>
      <c r="I105" s="5"/>
      <c r="J105" s="5"/>
      <c r="K105" s="2"/>
      <c r="L105" s="5"/>
      <c r="M105" s="5"/>
      <c r="N105" s="2"/>
      <c r="O105" s="2"/>
      <c r="P105" s="2"/>
      <c r="Q105" s="2"/>
      <c r="R105" s="2"/>
    </row>
    <row r="106" spans="1:18" x14ac:dyDescent="0.3">
      <c r="A106" t="s">
        <v>0</v>
      </c>
      <c r="B106" s="3">
        <v>46054</v>
      </c>
      <c r="C106" t="s">
        <v>73</v>
      </c>
      <c r="D106">
        <v>23546</v>
      </c>
    </row>
    <row r="107" spans="1:18" x14ac:dyDescent="0.3">
      <c r="A107" t="s">
        <v>1</v>
      </c>
      <c r="B107" s="3">
        <v>46054</v>
      </c>
      <c r="C107" t="s">
        <v>73</v>
      </c>
      <c r="D107">
        <v>324504</v>
      </c>
    </row>
    <row r="108" spans="1:18" x14ac:dyDescent="0.3">
      <c r="A108" t="s">
        <v>2</v>
      </c>
      <c r="B108" s="3">
        <v>46054</v>
      </c>
      <c r="C108" t="s">
        <v>73</v>
      </c>
      <c r="D108">
        <v>129699</v>
      </c>
    </row>
    <row r="109" spans="1:18" x14ac:dyDescent="0.3">
      <c r="A109" t="s">
        <v>3</v>
      </c>
      <c r="B109" s="3">
        <v>46054</v>
      </c>
      <c r="C109" t="s">
        <v>73</v>
      </c>
      <c r="D109">
        <v>255927</v>
      </c>
    </row>
    <row r="110" spans="1:18" x14ac:dyDescent="0.3">
      <c r="A110" t="s">
        <v>65</v>
      </c>
      <c r="B110" s="3">
        <v>46054</v>
      </c>
      <c r="C110" t="s">
        <v>74</v>
      </c>
      <c r="D110">
        <v>1847315</v>
      </c>
    </row>
    <row r="111" spans="1:18" x14ac:dyDescent="0.3">
      <c r="A111" t="s">
        <v>66</v>
      </c>
      <c r="B111" s="3">
        <v>46054</v>
      </c>
      <c r="C111" t="s">
        <v>74</v>
      </c>
      <c r="D111">
        <v>242970</v>
      </c>
    </row>
    <row r="112" spans="1:18" x14ac:dyDescent="0.3">
      <c r="A112" t="s">
        <v>67</v>
      </c>
      <c r="B112" s="3">
        <v>46054</v>
      </c>
      <c r="C112" t="s">
        <v>74</v>
      </c>
      <c r="D112">
        <v>148596</v>
      </c>
    </row>
    <row r="113" spans="1:4" x14ac:dyDescent="0.3">
      <c r="A113" t="s">
        <v>68</v>
      </c>
      <c r="B113" s="3">
        <v>46054</v>
      </c>
      <c r="C113" t="s">
        <v>74</v>
      </c>
      <c r="D113">
        <v>12973</v>
      </c>
    </row>
    <row r="114" spans="1:4" x14ac:dyDescent="0.3">
      <c r="A114" t="s">
        <v>8</v>
      </c>
      <c r="B114" s="3">
        <v>46054</v>
      </c>
      <c r="C114" t="s">
        <v>73</v>
      </c>
      <c r="D114">
        <v>36282</v>
      </c>
    </row>
    <row r="115" spans="1:4" x14ac:dyDescent="0.3">
      <c r="A115" t="s">
        <v>9</v>
      </c>
      <c r="B115" s="3">
        <v>46054</v>
      </c>
      <c r="C115" t="s">
        <v>73</v>
      </c>
      <c r="D115">
        <v>3849587</v>
      </c>
    </row>
    <row r="116" spans="1:4" x14ac:dyDescent="0.3">
      <c r="A116" t="s">
        <v>10</v>
      </c>
      <c r="B116" s="3">
        <v>46054</v>
      </c>
      <c r="C116" t="s">
        <v>74</v>
      </c>
      <c r="D116">
        <v>1188140</v>
      </c>
    </row>
    <row r="117" spans="1:4" x14ac:dyDescent="0.3">
      <c r="A117" t="s">
        <v>11</v>
      </c>
      <c r="B117" s="3">
        <v>46054</v>
      </c>
      <c r="C117" t="s">
        <v>73</v>
      </c>
      <c r="D117">
        <v>20974</v>
      </c>
    </row>
    <row r="118" spans="1:4" x14ac:dyDescent="0.3">
      <c r="A118" t="s">
        <v>12</v>
      </c>
      <c r="B118" s="3">
        <v>46054</v>
      </c>
      <c r="C118" t="s">
        <v>73</v>
      </c>
      <c r="D118">
        <v>103253</v>
      </c>
    </row>
    <row r="119" spans="1:4" x14ac:dyDescent="0.3">
      <c r="A119" t="s">
        <v>69</v>
      </c>
      <c r="B119" s="3">
        <v>46054</v>
      </c>
      <c r="C119" t="s">
        <v>74</v>
      </c>
      <c r="D119">
        <v>113957</v>
      </c>
    </row>
    <row r="120" spans="1:4" x14ac:dyDescent="0.3">
      <c r="A120" t="s">
        <v>14</v>
      </c>
      <c r="B120" s="3">
        <v>46054</v>
      </c>
      <c r="C120" t="s">
        <v>74</v>
      </c>
      <c r="D120">
        <v>421852</v>
      </c>
    </row>
    <row r="121" spans="1:4" x14ac:dyDescent="0.3">
      <c r="A121" t="s">
        <v>15</v>
      </c>
      <c r="B121" s="3">
        <v>46054</v>
      </c>
      <c r="C121" t="s">
        <v>73</v>
      </c>
      <c r="D121">
        <v>203119</v>
      </c>
    </row>
    <row r="122" spans="1:4" x14ac:dyDescent="0.3">
      <c r="A122" t="s">
        <v>16</v>
      </c>
      <c r="B122" s="3">
        <v>46054</v>
      </c>
      <c r="C122" t="s">
        <v>73</v>
      </c>
      <c r="D122">
        <v>143880</v>
      </c>
    </row>
    <row r="123" spans="1:4" x14ac:dyDescent="0.3">
      <c r="A123" t="s">
        <v>17</v>
      </c>
      <c r="B123" s="3">
        <v>46054</v>
      </c>
      <c r="C123" t="s">
        <v>74</v>
      </c>
      <c r="D123">
        <v>77526</v>
      </c>
    </row>
    <row r="124" spans="1:4" x14ac:dyDescent="0.3">
      <c r="A124" t="s">
        <v>18</v>
      </c>
      <c r="B124" s="3">
        <v>46054</v>
      </c>
      <c r="C124" t="s">
        <v>73</v>
      </c>
      <c r="D124">
        <v>195759</v>
      </c>
    </row>
    <row r="125" spans="1:4" x14ac:dyDescent="0.3">
      <c r="A125" t="s">
        <v>70</v>
      </c>
      <c r="B125" s="3">
        <v>46054</v>
      </c>
      <c r="C125" t="s">
        <v>74</v>
      </c>
      <c r="D125">
        <v>338197</v>
      </c>
    </row>
    <row r="126" spans="1:4" x14ac:dyDescent="0.3">
      <c r="A126" t="s">
        <v>20</v>
      </c>
      <c r="B126" s="3">
        <v>46054</v>
      </c>
      <c r="C126" t="s">
        <v>74</v>
      </c>
      <c r="D126">
        <v>223483</v>
      </c>
    </row>
    <row r="127" spans="1:4" x14ac:dyDescent="0.3">
      <c r="A127" t="s">
        <v>21</v>
      </c>
      <c r="B127" s="3">
        <v>46054</v>
      </c>
      <c r="C127" t="s">
        <v>74</v>
      </c>
      <c r="D127">
        <v>54800</v>
      </c>
    </row>
    <row r="128" spans="1:4" x14ac:dyDescent="0.3">
      <c r="A128" t="s">
        <v>22</v>
      </c>
      <c r="B128" s="3">
        <v>46054</v>
      </c>
      <c r="C128" t="s">
        <v>73</v>
      </c>
      <c r="D128">
        <v>357350</v>
      </c>
    </row>
    <row r="129" spans="1:4" x14ac:dyDescent="0.3">
      <c r="A129" t="s">
        <v>23</v>
      </c>
      <c r="B129" s="3">
        <v>46054</v>
      </c>
      <c r="C129" t="s">
        <v>74</v>
      </c>
      <c r="D129">
        <v>104788</v>
      </c>
    </row>
    <row r="130" spans="1:4" x14ac:dyDescent="0.3">
      <c r="A130" t="s">
        <v>24</v>
      </c>
      <c r="B130" s="3">
        <v>46054</v>
      </c>
      <c r="C130" t="s">
        <v>73</v>
      </c>
      <c r="D130">
        <v>260999</v>
      </c>
    </row>
    <row r="131" spans="1:4" x14ac:dyDescent="0.3">
      <c r="A131" t="s">
        <v>25</v>
      </c>
      <c r="B131" s="3">
        <v>46054</v>
      </c>
      <c r="C131" t="s">
        <v>73</v>
      </c>
      <c r="D131">
        <v>191631</v>
      </c>
    </row>
    <row r="132" spans="1:4" x14ac:dyDescent="0.3">
      <c r="A132" t="s">
        <v>26</v>
      </c>
      <c r="B132" s="3">
        <v>46054</v>
      </c>
      <c r="C132" t="s">
        <v>73</v>
      </c>
      <c r="D132">
        <v>63975</v>
      </c>
    </row>
    <row r="133" spans="1:4" x14ac:dyDescent="0.3">
      <c r="A133" t="s">
        <v>27</v>
      </c>
      <c r="B133" s="3">
        <v>46054</v>
      </c>
      <c r="C133" t="s">
        <v>73</v>
      </c>
      <c r="D133">
        <v>609544</v>
      </c>
    </row>
    <row r="134" spans="1:4" x14ac:dyDescent="0.3">
      <c r="A134" t="s">
        <v>28</v>
      </c>
      <c r="B134" s="3">
        <v>46054</v>
      </c>
      <c r="C134" t="s">
        <v>73</v>
      </c>
      <c r="D134">
        <v>37472</v>
      </c>
    </row>
    <row r="135" spans="1:4" x14ac:dyDescent="0.3">
      <c r="A135" t="s">
        <v>29</v>
      </c>
      <c r="B135" s="3">
        <v>46054</v>
      </c>
      <c r="C135" t="s">
        <v>73</v>
      </c>
      <c r="D135">
        <v>100622</v>
      </c>
    </row>
    <row r="136" spans="1:4" x14ac:dyDescent="0.3">
      <c r="A136" t="s">
        <v>30</v>
      </c>
      <c r="B136" s="3">
        <v>46054</v>
      </c>
      <c r="C136" t="s">
        <v>73</v>
      </c>
      <c r="D136">
        <v>57716</v>
      </c>
    </row>
    <row r="137" spans="1:4" x14ac:dyDescent="0.3">
      <c r="A137" t="s">
        <v>31</v>
      </c>
      <c r="B137" s="3">
        <v>46054</v>
      </c>
      <c r="C137" t="s">
        <v>74</v>
      </c>
      <c r="D137">
        <v>471801</v>
      </c>
    </row>
    <row r="138" spans="1:4" x14ac:dyDescent="0.3">
      <c r="A138" t="s">
        <v>32</v>
      </c>
      <c r="B138" s="3">
        <v>46054</v>
      </c>
      <c r="C138" t="s">
        <v>74</v>
      </c>
      <c r="D138">
        <v>80047</v>
      </c>
    </row>
    <row r="139" spans="1:4" x14ac:dyDescent="0.3">
      <c r="A139" t="s">
        <v>33</v>
      </c>
      <c r="B139" s="3">
        <v>46054</v>
      </c>
      <c r="C139" t="s">
        <v>74</v>
      </c>
      <c r="D139">
        <v>99663</v>
      </c>
    </row>
    <row r="140" spans="1:4" x14ac:dyDescent="0.3">
      <c r="A140" t="s">
        <v>34</v>
      </c>
      <c r="B140" s="3">
        <v>46054</v>
      </c>
      <c r="C140" t="s">
        <v>74</v>
      </c>
      <c r="D140">
        <v>186497</v>
      </c>
    </row>
    <row r="141" spans="1:4" x14ac:dyDescent="0.3">
      <c r="A141" t="s">
        <v>35</v>
      </c>
      <c r="B141" s="3">
        <v>46054</v>
      </c>
      <c r="C141" t="s">
        <v>73</v>
      </c>
      <c r="D141">
        <v>336058</v>
      </c>
    </row>
    <row r="142" spans="1:4" x14ac:dyDescent="0.3">
      <c r="A142" t="s">
        <v>36</v>
      </c>
      <c r="B142" s="3">
        <v>46054</v>
      </c>
      <c r="C142" t="s">
        <v>73</v>
      </c>
      <c r="D142">
        <v>179600</v>
      </c>
    </row>
    <row r="143" spans="1:4" x14ac:dyDescent="0.3">
      <c r="A143" t="s">
        <v>37</v>
      </c>
      <c r="B143" s="3">
        <v>46054</v>
      </c>
      <c r="C143" t="s">
        <v>73</v>
      </c>
      <c r="D143">
        <v>105911</v>
      </c>
    </row>
    <row r="144" spans="1:4" x14ac:dyDescent="0.3">
      <c r="A144" t="s">
        <v>38</v>
      </c>
      <c r="B144" s="3">
        <v>46054</v>
      </c>
      <c r="C144" t="s">
        <v>74</v>
      </c>
      <c r="D144">
        <v>472627</v>
      </c>
    </row>
    <row r="145" spans="1:4" x14ac:dyDescent="0.3">
      <c r="A145" t="s">
        <v>71</v>
      </c>
      <c r="B145" s="3">
        <v>46054</v>
      </c>
      <c r="C145" t="s">
        <v>74</v>
      </c>
      <c r="D145">
        <v>39991</v>
      </c>
    </row>
    <row r="146" spans="1:4" x14ac:dyDescent="0.3">
      <c r="A146" t="s">
        <v>40</v>
      </c>
      <c r="B146" s="3">
        <v>46054</v>
      </c>
      <c r="C146" t="s">
        <v>73</v>
      </c>
      <c r="D146">
        <v>387145</v>
      </c>
    </row>
    <row r="147" spans="1:4" x14ac:dyDescent="0.3">
      <c r="A147" t="s">
        <v>41</v>
      </c>
      <c r="B147" s="3">
        <v>46054</v>
      </c>
      <c r="C147" t="s">
        <v>73</v>
      </c>
      <c r="D147">
        <v>45888</v>
      </c>
    </row>
    <row r="148" spans="1:4" x14ac:dyDescent="0.3">
      <c r="A148" t="s">
        <v>42</v>
      </c>
      <c r="B148" s="3">
        <v>46054</v>
      </c>
      <c r="C148" t="s">
        <v>73</v>
      </c>
      <c r="D148">
        <v>441515</v>
      </c>
    </row>
    <row r="149" spans="1:4" x14ac:dyDescent="0.3">
      <c r="A149" t="s">
        <v>43</v>
      </c>
      <c r="B149" s="3">
        <v>46054</v>
      </c>
      <c r="C149" t="s">
        <v>73</v>
      </c>
      <c r="D149">
        <v>3277198</v>
      </c>
    </row>
    <row r="150" spans="1:4" x14ac:dyDescent="0.3">
      <c r="A150" t="s">
        <v>44</v>
      </c>
      <c r="B150" s="3">
        <v>46054</v>
      </c>
      <c r="C150" t="s">
        <v>73</v>
      </c>
      <c r="D150">
        <v>337266</v>
      </c>
    </row>
    <row r="151" spans="1:4" x14ac:dyDescent="0.3">
      <c r="A151" t="s">
        <v>45</v>
      </c>
      <c r="B151" s="3">
        <v>46054</v>
      </c>
      <c r="C151" t="s">
        <v>74</v>
      </c>
      <c r="D151">
        <v>338768</v>
      </c>
    </row>
    <row r="152" spans="1:4" x14ac:dyDescent="0.3">
      <c r="A152" t="s">
        <v>46</v>
      </c>
      <c r="B152" s="3">
        <v>46054</v>
      </c>
      <c r="C152" t="s">
        <v>74</v>
      </c>
      <c r="D152">
        <v>28968</v>
      </c>
    </row>
    <row r="153" spans="1:4" x14ac:dyDescent="0.3">
      <c r="A153" t="s">
        <v>72</v>
      </c>
      <c r="B153" s="3">
        <v>46054</v>
      </c>
      <c r="C153" t="s">
        <v>74</v>
      </c>
      <c r="D153">
        <v>269993</v>
      </c>
    </row>
    <row r="154" spans="1:4" x14ac:dyDescent="0.3">
      <c r="A154" t="s">
        <v>48</v>
      </c>
      <c r="B154" s="3">
        <v>46054</v>
      </c>
      <c r="C154" t="s">
        <v>73</v>
      </c>
      <c r="D154">
        <v>245753</v>
      </c>
    </row>
    <row r="155" spans="1:4" x14ac:dyDescent="0.3">
      <c r="A155" t="s">
        <v>49</v>
      </c>
      <c r="B155" s="3">
        <v>46054</v>
      </c>
      <c r="C155" t="s">
        <v>73</v>
      </c>
      <c r="D155">
        <v>49508</v>
      </c>
    </row>
    <row r="156" spans="1:4" x14ac:dyDescent="0.3">
      <c r="A156" t="s">
        <v>50</v>
      </c>
      <c r="B156" s="3">
        <v>46054</v>
      </c>
      <c r="C156" t="s">
        <v>73</v>
      </c>
      <c r="D156">
        <v>34514</v>
      </c>
    </row>
    <row r="157" spans="1:4" x14ac:dyDescent="0.3">
      <c r="A157" t="s">
        <v>63</v>
      </c>
      <c r="B157" s="3">
        <v>46054</v>
      </c>
      <c r="C157" t="s">
        <v>82</v>
      </c>
      <c r="D157">
        <f>SUM(D106:D156)</f>
        <v>19169147</v>
      </c>
    </row>
    <row r="158" spans="1:4" x14ac:dyDescent="0.3">
      <c r="A158" t="s">
        <v>0</v>
      </c>
      <c r="B158" s="3">
        <v>46082</v>
      </c>
      <c r="C158" t="s">
        <v>73</v>
      </c>
    </row>
    <row r="159" spans="1:4" x14ac:dyDescent="0.3">
      <c r="A159" t="s">
        <v>1</v>
      </c>
      <c r="B159" s="3">
        <v>46082</v>
      </c>
      <c r="C159" t="s">
        <v>73</v>
      </c>
    </row>
    <row r="160" spans="1:4" x14ac:dyDescent="0.3">
      <c r="A160" t="s">
        <v>2</v>
      </c>
      <c r="B160" s="3">
        <v>46082</v>
      </c>
      <c r="C160" t="s">
        <v>73</v>
      </c>
      <c r="D160">
        <v>136415</v>
      </c>
    </row>
    <row r="161" spans="1:4" x14ac:dyDescent="0.3">
      <c r="A161" t="s">
        <v>3</v>
      </c>
      <c r="B161" s="3">
        <v>46082</v>
      </c>
      <c r="C161" t="s">
        <v>73</v>
      </c>
    </row>
    <row r="162" spans="1:4" x14ac:dyDescent="0.3">
      <c r="A162" t="s">
        <v>65</v>
      </c>
      <c r="B162" s="3">
        <v>46082</v>
      </c>
      <c r="C162" t="s">
        <v>74</v>
      </c>
    </row>
    <row r="163" spans="1:4" x14ac:dyDescent="0.3">
      <c r="A163" t="s">
        <v>66</v>
      </c>
      <c r="B163" s="3">
        <v>46082</v>
      </c>
      <c r="C163" t="s">
        <v>74</v>
      </c>
      <c r="D163">
        <v>243446</v>
      </c>
    </row>
    <row r="164" spans="1:4" x14ac:dyDescent="0.3">
      <c r="A164" t="s">
        <v>67</v>
      </c>
      <c r="B164" s="3">
        <v>46082</v>
      </c>
      <c r="C164" t="s">
        <v>74</v>
      </c>
    </row>
    <row r="165" spans="1:4" x14ac:dyDescent="0.3">
      <c r="A165" t="s">
        <v>68</v>
      </c>
      <c r="B165" s="3">
        <v>46082</v>
      </c>
      <c r="C165" t="s">
        <v>74</v>
      </c>
    </row>
    <row r="166" spans="1:4" x14ac:dyDescent="0.3">
      <c r="A166" t="s">
        <v>8</v>
      </c>
      <c r="B166" s="3">
        <v>46082</v>
      </c>
      <c r="C166" t="s">
        <v>73</v>
      </c>
    </row>
    <row r="167" spans="1:4" x14ac:dyDescent="0.3">
      <c r="A167" t="s">
        <v>9</v>
      </c>
      <c r="B167" s="3">
        <v>46082</v>
      </c>
      <c r="C167" t="s">
        <v>73</v>
      </c>
    </row>
    <row r="168" spans="1:4" x14ac:dyDescent="0.3">
      <c r="A168" t="s">
        <v>10</v>
      </c>
      <c r="B168" s="3">
        <v>46082</v>
      </c>
      <c r="C168" t="s">
        <v>74</v>
      </c>
      <c r="D168">
        <v>942864</v>
      </c>
    </row>
    <row r="169" spans="1:4" x14ac:dyDescent="0.3">
      <c r="A169" t="s">
        <v>11</v>
      </c>
      <c r="B169" s="3">
        <v>46082</v>
      </c>
      <c r="C169" t="s">
        <v>73</v>
      </c>
    </row>
    <row r="170" spans="1:4" x14ac:dyDescent="0.3">
      <c r="A170" t="s">
        <v>12</v>
      </c>
      <c r="B170" s="3">
        <v>46082</v>
      </c>
      <c r="C170" t="s">
        <v>73</v>
      </c>
    </row>
    <row r="171" spans="1:4" x14ac:dyDescent="0.3">
      <c r="A171" t="s">
        <v>69</v>
      </c>
      <c r="B171" s="3">
        <v>46082</v>
      </c>
      <c r="C171" t="s">
        <v>74</v>
      </c>
    </row>
    <row r="172" spans="1:4" x14ac:dyDescent="0.3">
      <c r="A172" t="s">
        <v>14</v>
      </c>
      <c r="B172" s="3">
        <v>46082</v>
      </c>
      <c r="C172" t="s">
        <v>74</v>
      </c>
      <c r="D172">
        <v>372104</v>
      </c>
    </row>
    <row r="173" spans="1:4" x14ac:dyDescent="0.3">
      <c r="A173" t="s">
        <v>15</v>
      </c>
      <c r="B173" s="3">
        <v>46082</v>
      </c>
      <c r="C173" t="s">
        <v>73</v>
      </c>
    </row>
    <row r="174" spans="1:4" x14ac:dyDescent="0.3">
      <c r="A174" t="s">
        <v>16</v>
      </c>
      <c r="B174" s="3">
        <v>46082</v>
      </c>
      <c r="C174" t="s">
        <v>73</v>
      </c>
    </row>
    <row r="175" spans="1:4" x14ac:dyDescent="0.3">
      <c r="A175" t="s">
        <v>17</v>
      </c>
      <c r="B175" s="3">
        <v>46082</v>
      </c>
      <c r="C175" t="s">
        <v>74</v>
      </c>
    </row>
    <row r="176" spans="1:4" x14ac:dyDescent="0.3">
      <c r="A176" t="s">
        <v>18</v>
      </c>
      <c r="B176" s="3">
        <v>46082</v>
      </c>
      <c r="C176" t="s">
        <v>73</v>
      </c>
    </row>
    <row r="177" spans="1:4" x14ac:dyDescent="0.3">
      <c r="A177" t="s">
        <v>70</v>
      </c>
      <c r="B177" s="3">
        <v>46082</v>
      </c>
      <c r="C177" t="s">
        <v>74</v>
      </c>
      <c r="D177">
        <v>351595</v>
      </c>
    </row>
    <row r="178" spans="1:4" x14ac:dyDescent="0.3">
      <c r="A178" t="s">
        <v>20</v>
      </c>
      <c r="B178" s="3">
        <v>46082</v>
      </c>
      <c r="C178" t="s">
        <v>74</v>
      </c>
      <c r="D178">
        <v>239707</v>
      </c>
    </row>
    <row r="179" spans="1:4" x14ac:dyDescent="0.3">
      <c r="A179" t="s">
        <v>21</v>
      </c>
      <c r="B179" s="3">
        <v>46082</v>
      </c>
      <c r="C179" t="s">
        <v>74</v>
      </c>
    </row>
    <row r="180" spans="1:4" x14ac:dyDescent="0.3">
      <c r="A180" t="s">
        <v>22</v>
      </c>
      <c r="B180" s="3">
        <v>46082</v>
      </c>
      <c r="C180" t="s">
        <v>73</v>
      </c>
    </row>
    <row r="181" spans="1:4" x14ac:dyDescent="0.3">
      <c r="A181" t="s">
        <v>23</v>
      </c>
      <c r="B181" s="3">
        <v>46082</v>
      </c>
      <c r="C181" t="s">
        <v>74</v>
      </c>
    </row>
    <row r="182" spans="1:4" x14ac:dyDescent="0.3">
      <c r="A182" t="s">
        <v>24</v>
      </c>
      <c r="B182" s="3">
        <v>46082</v>
      </c>
      <c r="C182" t="s">
        <v>73</v>
      </c>
    </row>
    <row r="183" spans="1:4" x14ac:dyDescent="0.3">
      <c r="A183" t="s">
        <v>25</v>
      </c>
      <c r="B183" s="3">
        <v>46082</v>
      </c>
      <c r="C183" t="s">
        <v>73</v>
      </c>
    </row>
    <row r="184" spans="1:4" x14ac:dyDescent="0.3">
      <c r="A184" t="s">
        <v>26</v>
      </c>
      <c r="B184" s="3">
        <v>46082</v>
      </c>
      <c r="C184" t="s">
        <v>73</v>
      </c>
    </row>
    <row r="185" spans="1:4" x14ac:dyDescent="0.3">
      <c r="A185" t="s">
        <v>27</v>
      </c>
      <c r="B185" s="3">
        <v>46082</v>
      </c>
      <c r="C185" t="s">
        <v>73</v>
      </c>
    </row>
    <row r="186" spans="1:4" x14ac:dyDescent="0.3">
      <c r="A186" t="s">
        <v>28</v>
      </c>
      <c r="B186" s="3">
        <v>46082</v>
      </c>
      <c r="C186" t="s">
        <v>73</v>
      </c>
    </row>
    <row r="187" spans="1:4" x14ac:dyDescent="0.3">
      <c r="A187" t="s">
        <v>29</v>
      </c>
      <c r="B187" s="3">
        <v>46082</v>
      </c>
      <c r="C187" t="s">
        <v>73</v>
      </c>
    </row>
    <row r="188" spans="1:4" x14ac:dyDescent="0.3">
      <c r="A188" t="s">
        <v>30</v>
      </c>
      <c r="B188" s="3">
        <v>46082</v>
      </c>
      <c r="C188" t="s">
        <v>73</v>
      </c>
    </row>
    <row r="189" spans="1:4" x14ac:dyDescent="0.3">
      <c r="A189" t="s">
        <v>31</v>
      </c>
      <c r="B189" s="3">
        <v>46082</v>
      </c>
      <c r="C189" t="s">
        <v>74</v>
      </c>
      <c r="D189">
        <v>438380</v>
      </c>
    </row>
    <row r="190" spans="1:4" x14ac:dyDescent="0.3">
      <c r="A190" t="s">
        <v>32</v>
      </c>
      <c r="B190" s="3">
        <v>46082</v>
      </c>
      <c r="C190" t="s">
        <v>74</v>
      </c>
      <c r="D190">
        <v>79116</v>
      </c>
    </row>
    <row r="191" spans="1:4" x14ac:dyDescent="0.3">
      <c r="A191" t="s">
        <v>33</v>
      </c>
      <c r="B191" s="3">
        <v>46082</v>
      </c>
      <c r="C191" t="s">
        <v>74</v>
      </c>
      <c r="D191">
        <v>94652</v>
      </c>
    </row>
    <row r="192" spans="1:4" x14ac:dyDescent="0.3">
      <c r="A192" t="s">
        <v>34</v>
      </c>
      <c r="B192" s="3">
        <v>46082</v>
      </c>
      <c r="C192" t="s">
        <v>74</v>
      </c>
      <c r="D192">
        <v>206957</v>
      </c>
    </row>
    <row r="193" spans="1:4" x14ac:dyDescent="0.3">
      <c r="A193" t="s">
        <v>35</v>
      </c>
      <c r="B193" s="3">
        <v>46082</v>
      </c>
      <c r="C193" t="s">
        <v>73</v>
      </c>
    </row>
    <row r="194" spans="1:4" x14ac:dyDescent="0.3">
      <c r="A194" t="s">
        <v>36</v>
      </c>
      <c r="B194" s="3">
        <v>46082</v>
      </c>
      <c r="C194" t="s">
        <v>73</v>
      </c>
    </row>
    <row r="195" spans="1:4" x14ac:dyDescent="0.3">
      <c r="A195" t="s">
        <v>37</v>
      </c>
      <c r="B195" s="3">
        <v>46082</v>
      </c>
      <c r="C195" t="s">
        <v>73</v>
      </c>
    </row>
    <row r="196" spans="1:4" x14ac:dyDescent="0.3">
      <c r="A196" t="s">
        <v>38</v>
      </c>
      <c r="B196" s="3">
        <v>46082</v>
      </c>
      <c r="C196" t="s">
        <v>74</v>
      </c>
      <c r="D196">
        <v>471289</v>
      </c>
    </row>
    <row r="197" spans="1:4" x14ac:dyDescent="0.3">
      <c r="A197" t="s">
        <v>71</v>
      </c>
      <c r="B197" s="3">
        <v>46082</v>
      </c>
      <c r="C197" t="s">
        <v>74</v>
      </c>
    </row>
    <row r="198" spans="1:4" x14ac:dyDescent="0.3">
      <c r="A198" t="s">
        <v>40</v>
      </c>
      <c r="B198" s="3">
        <v>46082</v>
      </c>
      <c r="C198" t="s">
        <v>73</v>
      </c>
    </row>
    <row r="199" spans="1:4" x14ac:dyDescent="0.3">
      <c r="A199" t="s">
        <v>41</v>
      </c>
      <c r="B199" s="3">
        <v>46082</v>
      </c>
      <c r="C199" t="s">
        <v>73</v>
      </c>
    </row>
    <row r="200" spans="1:4" x14ac:dyDescent="0.3">
      <c r="A200" t="s">
        <v>42</v>
      </c>
      <c r="B200" s="3">
        <v>46082</v>
      </c>
      <c r="C200" t="s">
        <v>73</v>
      </c>
    </row>
    <row r="201" spans="1:4" x14ac:dyDescent="0.3">
      <c r="A201" t="s">
        <v>43</v>
      </c>
      <c r="B201" s="3">
        <v>46082</v>
      </c>
      <c r="C201" t="s">
        <v>73</v>
      </c>
    </row>
    <row r="202" spans="1:4" x14ac:dyDescent="0.3">
      <c r="A202" t="s">
        <v>44</v>
      </c>
      <c r="B202" s="3">
        <v>46082</v>
      </c>
      <c r="C202" t="s">
        <v>73</v>
      </c>
    </row>
    <row r="203" spans="1:4" x14ac:dyDescent="0.3">
      <c r="A203" t="s">
        <v>45</v>
      </c>
      <c r="B203" s="3">
        <v>46082</v>
      </c>
      <c r="C203" t="s">
        <v>74</v>
      </c>
    </row>
    <row r="204" spans="1:4" x14ac:dyDescent="0.3">
      <c r="A204" t="s">
        <v>46</v>
      </c>
      <c r="B204" s="3">
        <v>46082</v>
      </c>
      <c r="C204" t="s">
        <v>74</v>
      </c>
      <c r="D204">
        <v>28472</v>
      </c>
    </row>
    <row r="205" spans="1:4" x14ac:dyDescent="0.3">
      <c r="A205" t="s">
        <v>72</v>
      </c>
      <c r="B205" s="3">
        <v>46082</v>
      </c>
      <c r="C205" t="s">
        <v>74</v>
      </c>
    </row>
    <row r="206" spans="1:4" x14ac:dyDescent="0.3">
      <c r="A206" t="s">
        <v>48</v>
      </c>
      <c r="B206" s="3">
        <v>46082</v>
      </c>
      <c r="C206" t="s">
        <v>73</v>
      </c>
    </row>
    <row r="207" spans="1:4" x14ac:dyDescent="0.3">
      <c r="A207" t="s">
        <v>49</v>
      </c>
      <c r="B207" s="3">
        <v>46082</v>
      </c>
      <c r="C207" t="s">
        <v>73</v>
      </c>
    </row>
    <row r="208" spans="1:4" x14ac:dyDescent="0.3">
      <c r="A208" t="s">
        <v>50</v>
      </c>
      <c r="B208" s="3">
        <v>46082</v>
      </c>
      <c r="C208" t="s">
        <v>73</v>
      </c>
    </row>
    <row r="209" spans="1:4" x14ac:dyDescent="0.3">
      <c r="A209" t="s">
        <v>63</v>
      </c>
      <c r="B209" s="3">
        <v>46082</v>
      </c>
      <c r="C209" t="s">
        <v>82</v>
      </c>
    </row>
    <row r="210" spans="1:4" x14ac:dyDescent="0.3">
      <c r="A210" t="s">
        <v>0</v>
      </c>
      <c r="B210" s="3">
        <v>46113</v>
      </c>
      <c r="C210" t="s">
        <v>73</v>
      </c>
    </row>
    <row r="211" spans="1:4" x14ac:dyDescent="0.3">
      <c r="A211" t="s">
        <v>1</v>
      </c>
      <c r="B211" s="3">
        <v>46113</v>
      </c>
      <c r="C211" t="s">
        <v>73</v>
      </c>
    </row>
    <row r="212" spans="1:4" x14ac:dyDescent="0.3">
      <c r="A212" t="s">
        <v>2</v>
      </c>
      <c r="B212" s="3">
        <v>46113</v>
      </c>
      <c r="C212" t="s">
        <v>73</v>
      </c>
      <c r="D212">
        <v>137309</v>
      </c>
    </row>
    <row r="213" spans="1:4" x14ac:dyDescent="0.3">
      <c r="A213" t="s">
        <v>3</v>
      </c>
      <c r="B213" s="3">
        <v>46113</v>
      </c>
      <c r="C213" t="s">
        <v>73</v>
      </c>
    </row>
    <row r="214" spans="1:4" x14ac:dyDescent="0.3">
      <c r="A214" t="s">
        <v>65</v>
      </c>
      <c r="B214" s="3">
        <v>46113</v>
      </c>
      <c r="C214" t="s">
        <v>74</v>
      </c>
    </row>
    <row r="215" spans="1:4" x14ac:dyDescent="0.3">
      <c r="A215" t="s">
        <v>66</v>
      </c>
      <c r="B215" s="3">
        <v>46113</v>
      </c>
      <c r="C215" t="s">
        <v>74</v>
      </c>
    </row>
    <row r="216" spans="1:4" x14ac:dyDescent="0.3">
      <c r="A216" t="s">
        <v>67</v>
      </c>
      <c r="B216" s="3">
        <v>46113</v>
      </c>
      <c r="C216" t="s">
        <v>74</v>
      </c>
    </row>
    <row r="217" spans="1:4" x14ac:dyDescent="0.3">
      <c r="A217" t="s">
        <v>68</v>
      </c>
      <c r="B217" s="3">
        <v>46113</v>
      </c>
      <c r="C217" t="s">
        <v>74</v>
      </c>
    </row>
    <row r="218" spans="1:4" x14ac:dyDescent="0.3">
      <c r="A218" t="s">
        <v>8</v>
      </c>
      <c r="B218" s="3">
        <v>46113</v>
      </c>
      <c r="C218" t="s">
        <v>73</v>
      </c>
    </row>
    <row r="219" spans="1:4" x14ac:dyDescent="0.3">
      <c r="A219" t="s">
        <v>9</v>
      </c>
      <c r="B219" s="3">
        <v>46113</v>
      </c>
      <c r="C219" t="s">
        <v>73</v>
      </c>
    </row>
    <row r="220" spans="1:4" x14ac:dyDescent="0.3">
      <c r="A220" t="s">
        <v>10</v>
      </c>
      <c r="B220" s="3">
        <v>46113</v>
      </c>
      <c r="C220" t="s">
        <v>74</v>
      </c>
      <c r="D220">
        <v>950000</v>
      </c>
    </row>
    <row r="221" spans="1:4" x14ac:dyDescent="0.3">
      <c r="A221" t="s">
        <v>11</v>
      </c>
      <c r="B221" s="3">
        <v>46113</v>
      </c>
      <c r="C221" t="s">
        <v>73</v>
      </c>
    </row>
    <row r="222" spans="1:4" x14ac:dyDescent="0.3">
      <c r="A222" t="s">
        <v>12</v>
      </c>
      <c r="B222" s="3">
        <v>46113</v>
      </c>
      <c r="C222" t="s">
        <v>73</v>
      </c>
    </row>
    <row r="223" spans="1:4" x14ac:dyDescent="0.3">
      <c r="A223" t="s">
        <v>69</v>
      </c>
      <c r="B223" s="3">
        <v>46113</v>
      </c>
      <c r="C223" t="s">
        <v>74</v>
      </c>
    </row>
    <row r="224" spans="1:4" x14ac:dyDescent="0.3">
      <c r="A224" t="s">
        <v>14</v>
      </c>
      <c r="B224" s="3">
        <v>46113</v>
      </c>
      <c r="C224" t="s">
        <v>74</v>
      </c>
      <c r="D224">
        <v>373327</v>
      </c>
    </row>
    <row r="225" spans="1:4" x14ac:dyDescent="0.3">
      <c r="A225" t="s">
        <v>15</v>
      </c>
      <c r="B225" s="3">
        <v>46113</v>
      </c>
      <c r="C225" t="s">
        <v>73</v>
      </c>
    </row>
    <row r="226" spans="1:4" x14ac:dyDescent="0.3">
      <c r="A226" t="s">
        <v>16</v>
      </c>
      <c r="B226" s="3">
        <v>46113</v>
      </c>
      <c r="C226" t="s">
        <v>73</v>
      </c>
    </row>
    <row r="227" spans="1:4" x14ac:dyDescent="0.3">
      <c r="A227" t="s">
        <v>17</v>
      </c>
      <c r="B227" s="3">
        <v>46113</v>
      </c>
      <c r="C227" t="s">
        <v>74</v>
      </c>
    </row>
    <row r="228" spans="1:4" x14ac:dyDescent="0.3">
      <c r="A228" t="s">
        <v>18</v>
      </c>
      <c r="B228" s="3">
        <v>46113</v>
      </c>
      <c r="C228" t="s">
        <v>73</v>
      </c>
    </row>
    <row r="229" spans="1:4" x14ac:dyDescent="0.3">
      <c r="A229" t="s">
        <v>70</v>
      </c>
      <c r="B229" s="3">
        <v>46113</v>
      </c>
      <c r="C229" t="s">
        <v>74</v>
      </c>
      <c r="D229">
        <v>347353</v>
      </c>
    </row>
    <row r="230" spans="1:4" x14ac:dyDescent="0.3">
      <c r="A230" t="s">
        <v>20</v>
      </c>
      <c r="B230" s="3">
        <v>46113</v>
      </c>
      <c r="C230" t="s">
        <v>74</v>
      </c>
      <c r="D230">
        <v>221488</v>
      </c>
    </row>
    <row r="231" spans="1:4" x14ac:dyDescent="0.3">
      <c r="A231" t="s">
        <v>21</v>
      </c>
      <c r="B231" s="3">
        <v>46113</v>
      </c>
      <c r="C231" t="s">
        <v>74</v>
      </c>
    </row>
    <row r="232" spans="1:4" x14ac:dyDescent="0.3">
      <c r="A232" t="s">
        <v>22</v>
      </c>
      <c r="B232" s="3">
        <v>46113</v>
      </c>
      <c r="C232" t="s">
        <v>73</v>
      </c>
    </row>
    <row r="233" spans="1:4" x14ac:dyDescent="0.3">
      <c r="A233" t="s">
        <v>23</v>
      </c>
      <c r="B233" s="3">
        <v>46113</v>
      </c>
      <c r="C233" t="s">
        <v>74</v>
      </c>
    </row>
    <row r="234" spans="1:4" x14ac:dyDescent="0.3">
      <c r="A234" t="s">
        <v>24</v>
      </c>
      <c r="B234" s="3">
        <v>46113</v>
      </c>
      <c r="C234" t="s">
        <v>73</v>
      </c>
    </row>
    <row r="235" spans="1:4" x14ac:dyDescent="0.3">
      <c r="A235" t="s">
        <v>25</v>
      </c>
      <c r="B235" s="3">
        <v>46113</v>
      </c>
      <c r="C235" t="s">
        <v>73</v>
      </c>
    </row>
    <row r="236" spans="1:4" x14ac:dyDescent="0.3">
      <c r="A236" t="s">
        <v>26</v>
      </c>
      <c r="B236" s="3">
        <v>46113</v>
      </c>
      <c r="C236" t="s">
        <v>73</v>
      </c>
    </row>
    <row r="237" spans="1:4" x14ac:dyDescent="0.3">
      <c r="A237" t="s">
        <v>27</v>
      </c>
      <c r="B237" s="3">
        <v>46113</v>
      </c>
      <c r="C237" t="s">
        <v>73</v>
      </c>
    </row>
    <row r="238" spans="1:4" x14ac:dyDescent="0.3">
      <c r="A238" t="s">
        <v>28</v>
      </c>
      <c r="B238" s="3">
        <v>46113</v>
      </c>
      <c r="C238" t="s">
        <v>73</v>
      </c>
    </row>
    <row r="239" spans="1:4" x14ac:dyDescent="0.3">
      <c r="A239" t="s">
        <v>29</v>
      </c>
      <c r="B239" s="3">
        <v>46113</v>
      </c>
      <c r="C239" t="s">
        <v>73</v>
      </c>
    </row>
    <row r="240" spans="1:4" x14ac:dyDescent="0.3">
      <c r="A240" t="s">
        <v>30</v>
      </c>
      <c r="B240" s="3">
        <v>46113</v>
      </c>
      <c r="C240" t="s">
        <v>73</v>
      </c>
    </row>
    <row r="241" spans="1:4" x14ac:dyDescent="0.3">
      <c r="A241" t="s">
        <v>31</v>
      </c>
      <c r="B241" s="3">
        <v>46113</v>
      </c>
      <c r="C241" t="s">
        <v>74</v>
      </c>
      <c r="D241">
        <v>440362</v>
      </c>
    </row>
    <row r="242" spans="1:4" x14ac:dyDescent="0.3">
      <c r="A242" t="s">
        <v>32</v>
      </c>
      <c r="B242" s="3">
        <v>46113</v>
      </c>
      <c r="C242" t="s">
        <v>74</v>
      </c>
      <c r="D242">
        <v>76279</v>
      </c>
    </row>
    <row r="243" spans="1:4" x14ac:dyDescent="0.3">
      <c r="A243" t="s">
        <v>33</v>
      </c>
      <c r="B243" s="3">
        <v>46113</v>
      </c>
      <c r="C243" t="s">
        <v>74</v>
      </c>
      <c r="D243">
        <v>93487</v>
      </c>
    </row>
    <row r="244" spans="1:4" x14ac:dyDescent="0.3">
      <c r="A244" t="s">
        <v>34</v>
      </c>
      <c r="B244" s="3">
        <v>46113</v>
      </c>
      <c r="C244" t="s">
        <v>74</v>
      </c>
      <c r="D244">
        <v>202548</v>
      </c>
    </row>
    <row r="245" spans="1:4" x14ac:dyDescent="0.3">
      <c r="A245" t="s">
        <v>35</v>
      </c>
      <c r="B245" s="3">
        <v>46113</v>
      </c>
      <c r="C245" t="s">
        <v>73</v>
      </c>
    </row>
    <row r="246" spans="1:4" x14ac:dyDescent="0.3">
      <c r="A246" t="s">
        <v>36</v>
      </c>
      <c r="B246" s="3">
        <v>46113</v>
      </c>
      <c r="C246" t="s">
        <v>73</v>
      </c>
    </row>
    <row r="247" spans="1:4" x14ac:dyDescent="0.3">
      <c r="A247" t="s">
        <v>37</v>
      </c>
      <c r="B247" s="3">
        <v>46113</v>
      </c>
      <c r="C247" t="s">
        <v>73</v>
      </c>
    </row>
    <row r="248" spans="1:4" x14ac:dyDescent="0.3">
      <c r="A248" t="s">
        <v>38</v>
      </c>
      <c r="B248" s="3">
        <v>46113</v>
      </c>
      <c r="C248" t="s">
        <v>74</v>
      </c>
      <c r="D248">
        <v>462751</v>
      </c>
    </row>
    <row r="249" spans="1:4" x14ac:dyDescent="0.3">
      <c r="A249" t="s">
        <v>71</v>
      </c>
      <c r="B249" s="3">
        <v>46113</v>
      </c>
      <c r="C249" t="s">
        <v>74</v>
      </c>
    </row>
    <row r="250" spans="1:4" x14ac:dyDescent="0.3">
      <c r="A250" t="s">
        <v>40</v>
      </c>
      <c r="B250" s="3">
        <v>46113</v>
      </c>
      <c r="C250" t="s">
        <v>73</v>
      </c>
    </row>
    <row r="251" spans="1:4" x14ac:dyDescent="0.3">
      <c r="A251" t="s">
        <v>41</v>
      </c>
      <c r="B251" s="3">
        <v>46113</v>
      </c>
      <c r="C251" t="s">
        <v>73</v>
      </c>
    </row>
    <row r="252" spans="1:4" x14ac:dyDescent="0.3">
      <c r="A252" t="s">
        <v>42</v>
      </c>
      <c r="B252" s="3">
        <v>46113</v>
      </c>
      <c r="C252" t="s">
        <v>73</v>
      </c>
    </row>
    <row r="253" spans="1:4" x14ac:dyDescent="0.3">
      <c r="A253" t="s">
        <v>43</v>
      </c>
      <c r="B253" s="3">
        <v>46113</v>
      </c>
      <c r="C253" t="s">
        <v>73</v>
      </c>
    </row>
    <row r="254" spans="1:4" x14ac:dyDescent="0.3">
      <c r="A254" t="s">
        <v>44</v>
      </c>
      <c r="B254" s="3">
        <v>46113</v>
      </c>
      <c r="C254" t="s">
        <v>73</v>
      </c>
    </row>
    <row r="255" spans="1:4" x14ac:dyDescent="0.3">
      <c r="A255" t="s">
        <v>45</v>
      </c>
      <c r="B255" s="3">
        <v>46113</v>
      </c>
      <c r="C255" t="s">
        <v>74</v>
      </c>
    </row>
    <row r="256" spans="1:4" x14ac:dyDescent="0.3">
      <c r="A256" t="s">
        <v>46</v>
      </c>
      <c r="B256" s="3">
        <v>46113</v>
      </c>
      <c r="C256" t="s">
        <v>74</v>
      </c>
      <c r="D256">
        <v>28535</v>
      </c>
    </row>
    <row r="257" spans="1:4" x14ac:dyDescent="0.3">
      <c r="A257" t="s">
        <v>72</v>
      </c>
      <c r="B257" s="3">
        <v>46113</v>
      </c>
      <c r="C257" t="s">
        <v>74</v>
      </c>
    </row>
    <row r="258" spans="1:4" x14ac:dyDescent="0.3">
      <c r="A258" t="s">
        <v>48</v>
      </c>
      <c r="B258" s="3">
        <v>46113</v>
      </c>
      <c r="C258" t="s">
        <v>73</v>
      </c>
    </row>
    <row r="259" spans="1:4" x14ac:dyDescent="0.3">
      <c r="A259" t="s">
        <v>49</v>
      </c>
      <c r="B259" s="3">
        <v>46113</v>
      </c>
      <c r="C259" t="s">
        <v>73</v>
      </c>
    </row>
    <row r="260" spans="1:4" x14ac:dyDescent="0.3">
      <c r="A260" t="s">
        <v>50</v>
      </c>
      <c r="B260" s="3">
        <v>46113</v>
      </c>
      <c r="C260" t="s">
        <v>73</v>
      </c>
    </row>
    <row r="261" spans="1:4" x14ac:dyDescent="0.3">
      <c r="A261" t="s">
        <v>63</v>
      </c>
      <c r="B261" s="3">
        <v>46113</v>
      </c>
      <c r="C261" t="s">
        <v>82</v>
      </c>
      <c r="D261" s="7">
        <v>19200000</v>
      </c>
    </row>
    <row r="262" spans="1:4" x14ac:dyDescent="0.3">
      <c r="A262" t="s">
        <v>0</v>
      </c>
      <c r="B262" s="3">
        <v>46143</v>
      </c>
      <c r="C262" t="s">
        <v>73</v>
      </c>
    </row>
    <row r="263" spans="1:4" x14ac:dyDescent="0.3">
      <c r="A263" t="s">
        <v>1</v>
      </c>
      <c r="B263" s="3">
        <v>46143</v>
      </c>
      <c r="C263" t="s">
        <v>73</v>
      </c>
    </row>
    <row r="264" spans="1:4" x14ac:dyDescent="0.3">
      <c r="A264" t="s">
        <v>2</v>
      </c>
      <c r="B264" s="3">
        <v>46143</v>
      </c>
      <c r="C264" t="s">
        <v>73</v>
      </c>
      <c r="D264">
        <v>138440</v>
      </c>
    </row>
    <row r="265" spans="1:4" x14ac:dyDescent="0.3">
      <c r="A265" t="s">
        <v>3</v>
      </c>
      <c r="B265" s="3">
        <v>46143</v>
      </c>
      <c r="C265" t="s">
        <v>73</v>
      </c>
    </row>
    <row r="266" spans="1:4" x14ac:dyDescent="0.3">
      <c r="A266" t="s">
        <v>65</v>
      </c>
      <c r="B266" s="3">
        <v>46143</v>
      </c>
      <c r="C266" t="s">
        <v>74</v>
      </c>
    </row>
    <row r="267" spans="1:4" x14ac:dyDescent="0.3">
      <c r="A267" t="s">
        <v>66</v>
      </c>
      <c r="B267" s="3">
        <v>46143</v>
      </c>
      <c r="C267" t="s">
        <v>74</v>
      </c>
    </row>
    <row r="268" spans="1:4" x14ac:dyDescent="0.3">
      <c r="A268" t="s">
        <v>67</v>
      </c>
      <c r="B268" s="3">
        <v>46143</v>
      </c>
      <c r="C268" t="s">
        <v>74</v>
      </c>
    </row>
    <row r="269" spans="1:4" x14ac:dyDescent="0.3">
      <c r="A269" t="s">
        <v>68</v>
      </c>
      <c r="B269" s="3">
        <v>46143</v>
      </c>
      <c r="C269" t="s">
        <v>74</v>
      </c>
    </row>
    <row r="270" spans="1:4" x14ac:dyDescent="0.3">
      <c r="A270" t="s">
        <v>8</v>
      </c>
      <c r="B270" s="3">
        <v>46143</v>
      </c>
      <c r="C270" t="s">
        <v>73</v>
      </c>
    </row>
    <row r="271" spans="1:4" x14ac:dyDescent="0.3">
      <c r="A271" t="s">
        <v>9</v>
      </c>
      <c r="B271" s="3">
        <v>46143</v>
      </c>
      <c r="C271" t="s">
        <v>73</v>
      </c>
    </row>
    <row r="272" spans="1:4" x14ac:dyDescent="0.3">
      <c r="A272" t="s">
        <v>10</v>
      </c>
      <c r="B272" s="3">
        <v>46143</v>
      </c>
      <c r="C272" t="s">
        <v>74</v>
      </c>
    </row>
    <row r="273" spans="1:4" x14ac:dyDescent="0.3">
      <c r="A273" t="s">
        <v>11</v>
      </c>
      <c r="B273" s="3">
        <v>46143</v>
      </c>
      <c r="C273" t="s">
        <v>73</v>
      </c>
    </row>
    <row r="274" spans="1:4" x14ac:dyDescent="0.3">
      <c r="A274" t="s">
        <v>12</v>
      </c>
      <c r="B274" s="3">
        <v>46143</v>
      </c>
      <c r="C274" t="s">
        <v>73</v>
      </c>
    </row>
    <row r="275" spans="1:4" x14ac:dyDescent="0.3">
      <c r="A275" t="s">
        <v>69</v>
      </c>
      <c r="B275" s="3">
        <v>46143</v>
      </c>
      <c r="C275" t="s">
        <v>74</v>
      </c>
    </row>
    <row r="276" spans="1:4" x14ac:dyDescent="0.3">
      <c r="A276" t="s">
        <v>14</v>
      </c>
      <c r="B276" s="3">
        <v>46143</v>
      </c>
      <c r="C276" t="s">
        <v>74</v>
      </c>
      <c r="D276">
        <v>373065</v>
      </c>
    </row>
    <row r="277" spans="1:4" x14ac:dyDescent="0.3">
      <c r="A277" t="s">
        <v>15</v>
      </c>
      <c r="B277" s="3">
        <v>46143</v>
      </c>
      <c r="C277" t="s">
        <v>73</v>
      </c>
    </row>
    <row r="278" spans="1:4" x14ac:dyDescent="0.3">
      <c r="A278" t="s">
        <v>16</v>
      </c>
      <c r="B278" s="3">
        <v>46143</v>
      </c>
      <c r="C278" t="s">
        <v>73</v>
      </c>
    </row>
    <row r="279" spans="1:4" x14ac:dyDescent="0.3">
      <c r="A279" t="s">
        <v>17</v>
      </c>
      <c r="B279" s="3">
        <v>46143</v>
      </c>
      <c r="C279" t="s">
        <v>74</v>
      </c>
    </row>
    <row r="280" spans="1:4" x14ac:dyDescent="0.3">
      <c r="A280" t="s">
        <v>18</v>
      </c>
      <c r="B280" s="3">
        <v>46143</v>
      </c>
      <c r="C280" t="s">
        <v>73</v>
      </c>
    </row>
    <row r="281" spans="1:4" x14ac:dyDescent="0.3">
      <c r="A281" t="s">
        <v>70</v>
      </c>
      <c r="B281" s="3">
        <v>46143</v>
      </c>
      <c r="C281" t="s">
        <v>74</v>
      </c>
    </row>
    <row r="282" spans="1:4" x14ac:dyDescent="0.3">
      <c r="A282" t="s">
        <v>20</v>
      </c>
      <c r="B282" s="3">
        <v>46143</v>
      </c>
      <c r="C282" t="s">
        <v>74</v>
      </c>
    </row>
    <row r="283" spans="1:4" x14ac:dyDescent="0.3">
      <c r="A283" t="s">
        <v>21</v>
      </c>
      <c r="B283" s="3">
        <v>46143</v>
      </c>
      <c r="C283" t="s">
        <v>74</v>
      </c>
    </row>
    <row r="284" spans="1:4" x14ac:dyDescent="0.3">
      <c r="A284" t="s">
        <v>22</v>
      </c>
      <c r="B284" s="3">
        <v>46143</v>
      </c>
      <c r="C284" t="s">
        <v>73</v>
      </c>
    </row>
    <row r="285" spans="1:4" x14ac:dyDescent="0.3">
      <c r="A285" t="s">
        <v>23</v>
      </c>
      <c r="B285" s="3">
        <v>46143</v>
      </c>
      <c r="C285" t="s">
        <v>74</v>
      </c>
    </row>
    <row r="286" spans="1:4" x14ac:dyDescent="0.3">
      <c r="A286" t="s">
        <v>24</v>
      </c>
      <c r="B286" s="3">
        <v>46143</v>
      </c>
      <c r="C286" t="s">
        <v>73</v>
      </c>
    </row>
    <row r="287" spans="1:4" x14ac:dyDescent="0.3">
      <c r="A287" t="s">
        <v>25</v>
      </c>
      <c r="B287" s="3">
        <v>46143</v>
      </c>
      <c r="C287" t="s">
        <v>73</v>
      </c>
    </row>
    <row r="288" spans="1:4" x14ac:dyDescent="0.3">
      <c r="A288" t="s">
        <v>26</v>
      </c>
      <c r="B288" s="3">
        <v>46143</v>
      </c>
      <c r="C288" t="s">
        <v>73</v>
      </c>
    </row>
    <row r="289" spans="1:4" x14ac:dyDescent="0.3">
      <c r="A289" t="s">
        <v>27</v>
      </c>
      <c r="B289" s="3">
        <v>46143</v>
      </c>
      <c r="C289" t="s">
        <v>73</v>
      </c>
    </row>
    <row r="290" spans="1:4" x14ac:dyDescent="0.3">
      <c r="A290" t="s">
        <v>28</v>
      </c>
      <c r="B290" s="3">
        <v>46143</v>
      </c>
      <c r="C290" t="s">
        <v>73</v>
      </c>
    </row>
    <row r="291" spans="1:4" x14ac:dyDescent="0.3">
      <c r="A291" t="s">
        <v>29</v>
      </c>
      <c r="B291" s="3">
        <v>46143</v>
      </c>
      <c r="C291" t="s">
        <v>73</v>
      </c>
    </row>
    <row r="292" spans="1:4" x14ac:dyDescent="0.3">
      <c r="A292" t="s">
        <v>30</v>
      </c>
      <c r="B292" s="3">
        <v>46143</v>
      </c>
      <c r="C292" t="s">
        <v>73</v>
      </c>
    </row>
    <row r="293" spans="1:4" x14ac:dyDescent="0.3">
      <c r="A293" t="s">
        <v>31</v>
      </c>
      <c r="B293" s="3">
        <v>46143</v>
      </c>
      <c r="C293" t="s">
        <v>74</v>
      </c>
    </row>
    <row r="294" spans="1:4" x14ac:dyDescent="0.3">
      <c r="A294" t="s">
        <v>32</v>
      </c>
      <c r="B294" s="3">
        <v>46143</v>
      </c>
      <c r="C294" t="s">
        <v>74</v>
      </c>
      <c r="D294">
        <v>76433</v>
      </c>
    </row>
    <row r="295" spans="1:4" x14ac:dyDescent="0.3">
      <c r="A295" t="s">
        <v>33</v>
      </c>
      <c r="B295" s="3">
        <v>46143</v>
      </c>
      <c r="C295" t="s">
        <v>74</v>
      </c>
      <c r="D295">
        <v>92271</v>
      </c>
    </row>
    <row r="296" spans="1:4" x14ac:dyDescent="0.3">
      <c r="A296" t="s">
        <v>34</v>
      </c>
      <c r="B296" s="3">
        <v>46143</v>
      </c>
      <c r="C296" t="s">
        <v>74</v>
      </c>
      <c r="D296">
        <v>202757</v>
      </c>
    </row>
    <row r="297" spans="1:4" x14ac:dyDescent="0.3">
      <c r="A297" t="s">
        <v>35</v>
      </c>
      <c r="B297" s="3">
        <v>46143</v>
      </c>
      <c r="C297" t="s">
        <v>73</v>
      </c>
    </row>
    <row r="298" spans="1:4" x14ac:dyDescent="0.3">
      <c r="A298" t="s">
        <v>36</v>
      </c>
      <c r="B298" s="3">
        <v>46143</v>
      </c>
      <c r="C298" t="s">
        <v>73</v>
      </c>
    </row>
    <row r="299" spans="1:4" x14ac:dyDescent="0.3">
      <c r="A299" t="s">
        <v>37</v>
      </c>
      <c r="B299" s="3">
        <v>46143</v>
      </c>
      <c r="C299" t="s">
        <v>73</v>
      </c>
    </row>
    <row r="300" spans="1:4" x14ac:dyDescent="0.3">
      <c r="A300" t="s">
        <v>38</v>
      </c>
      <c r="B300" s="3">
        <v>46143</v>
      </c>
      <c r="C300" t="s">
        <v>74</v>
      </c>
      <c r="D300">
        <v>452525</v>
      </c>
    </row>
    <row r="301" spans="1:4" x14ac:dyDescent="0.3">
      <c r="A301" t="s">
        <v>71</v>
      </c>
      <c r="B301" s="3">
        <v>46143</v>
      </c>
      <c r="C301" t="s">
        <v>74</v>
      </c>
    </row>
    <row r="302" spans="1:4" x14ac:dyDescent="0.3">
      <c r="A302" t="s">
        <v>40</v>
      </c>
      <c r="B302" s="3">
        <v>46143</v>
      </c>
      <c r="C302" t="s">
        <v>73</v>
      </c>
    </row>
    <row r="303" spans="1:4" x14ac:dyDescent="0.3">
      <c r="A303" t="s">
        <v>41</v>
      </c>
      <c r="B303" s="3">
        <v>46143</v>
      </c>
      <c r="C303" t="s">
        <v>73</v>
      </c>
    </row>
    <row r="304" spans="1:4" x14ac:dyDescent="0.3">
      <c r="A304" t="s">
        <v>42</v>
      </c>
      <c r="B304" s="3">
        <v>46143</v>
      </c>
      <c r="C304" t="s">
        <v>73</v>
      </c>
    </row>
    <row r="305" spans="1:3" x14ac:dyDescent="0.3">
      <c r="A305" t="s">
        <v>43</v>
      </c>
      <c r="B305" s="3">
        <v>46143</v>
      </c>
      <c r="C305" t="s">
        <v>73</v>
      </c>
    </row>
    <row r="306" spans="1:3" x14ac:dyDescent="0.3">
      <c r="A306" t="s">
        <v>44</v>
      </c>
      <c r="B306" s="3">
        <v>46143</v>
      </c>
      <c r="C306" t="s">
        <v>73</v>
      </c>
    </row>
    <row r="307" spans="1:3" x14ac:dyDescent="0.3">
      <c r="A307" t="s">
        <v>45</v>
      </c>
      <c r="B307" s="3">
        <v>46143</v>
      </c>
      <c r="C307" t="s">
        <v>74</v>
      </c>
    </row>
    <row r="308" spans="1:3" x14ac:dyDescent="0.3">
      <c r="A308" t="s">
        <v>46</v>
      </c>
      <c r="B308" s="3">
        <v>46143</v>
      </c>
      <c r="C308" t="s">
        <v>74</v>
      </c>
    </row>
    <row r="309" spans="1:3" x14ac:dyDescent="0.3">
      <c r="A309" t="s">
        <v>72</v>
      </c>
      <c r="B309" s="3">
        <v>46143</v>
      </c>
      <c r="C309" t="s">
        <v>74</v>
      </c>
    </row>
    <row r="310" spans="1:3" x14ac:dyDescent="0.3">
      <c r="A310" t="s">
        <v>48</v>
      </c>
      <c r="B310" s="3">
        <v>46143</v>
      </c>
      <c r="C310" t="s">
        <v>73</v>
      </c>
    </row>
    <row r="311" spans="1:3" x14ac:dyDescent="0.3">
      <c r="A311" t="s">
        <v>49</v>
      </c>
      <c r="B311" s="3">
        <v>46143</v>
      </c>
      <c r="C311" t="s">
        <v>73</v>
      </c>
    </row>
    <row r="312" spans="1:3" x14ac:dyDescent="0.3">
      <c r="A312" t="s">
        <v>50</v>
      </c>
      <c r="B312" s="3">
        <v>46143</v>
      </c>
      <c r="C312" t="s">
        <v>73</v>
      </c>
    </row>
    <row r="313" spans="1:3" x14ac:dyDescent="0.3">
      <c r="A313" t="s">
        <v>63</v>
      </c>
      <c r="B313" s="3">
        <v>46143</v>
      </c>
      <c r="C313" t="s">
        <v>82</v>
      </c>
    </row>
    <row r="314" spans="1:3" x14ac:dyDescent="0.3">
      <c r="A314" t="s">
        <v>0</v>
      </c>
      <c r="B314" s="3">
        <v>46174</v>
      </c>
      <c r="C314" t="s">
        <v>73</v>
      </c>
    </row>
    <row r="315" spans="1:3" x14ac:dyDescent="0.3">
      <c r="A315" t="s">
        <v>1</v>
      </c>
      <c r="B315" s="3">
        <v>46174</v>
      </c>
      <c r="C315" t="s">
        <v>73</v>
      </c>
    </row>
    <row r="316" spans="1:3" x14ac:dyDescent="0.3">
      <c r="A316" t="s">
        <v>2</v>
      </c>
      <c r="B316" s="3">
        <v>46174</v>
      </c>
      <c r="C316" t="s">
        <v>73</v>
      </c>
    </row>
    <row r="317" spans="1:3" x14ac:dyDescent="0.3">
      <c r="A317" t="s">
        <v>3</v>
      </c>
      <c r="B317" s="3">
        <v>46174</v>
      </c>
      <c r="C317" t="s">
        <v>73</v>
      </c>
    </row>
    <row r="318" spans="1:3" x14ac:dyDescent="0.3">
      <c r="A318" t="s">
        <v>65</v>
      </c>
      <c r="B318" s="3">
        <v>46174</v>
      </c>
      <c r="C318" t="s">
        <v>74</v>
      </c>
    </row>
    <row r="319" spans="1:3" x14ac:dyDescent="0.3">
      <c r="A319" t="s">
        <v>66</v>
      </c>
      <c r="B319" s="3">
        <v>46174</v>
      </c>
      <c r="C319" t="s">
        <v>74</v>
      </c>
    </row>
    <row r="320" spans="1:3" x14ac:dyDescent="0.3">
      <c r="A320" t="s">
        <v>67</v>
      </c>
      <c r="B320" s="3">
        <v>46174</v>
      </c>
      <c r="C320" t="s">
        <v>74</v>
      </c>
    </row>
    <row r="321" spans="1:3" x14ac:dyDescent="0.3">
      <c r="A321" t="s">
        <v>68</v>
      </c>
      <c r="B321" s="3">
        <v>46174</v>
      </c>
      <c r="C321" t="s">
        <v>74</v>
      </c>
    </row>
    <row r="322" spans="1:3" x14ac:dyDescent="0.3">
      <c r="A322" t="s">
        <v>8</v>
      </c>
      <c r="B322" s="3">
        <v>46174</v>
      </c>
      <c r="C322" t="s">
        <v>73</v>
      </c>
    </row>
    <row r="323" spans="1:3" x14ac:dyDescent="0.3">
      <c r="A323" t="s">
        <v>9</v>
      </c>
      <c r="B323" s="3">
        <v>46174</v>
      </c>
      <c r="C323" t="s">
        <v>73</v>
      </c>
    </row>
    <row r="324" spans="1:3" x14ac:dyDescent="0.3">
      <c r="A324" t="s">
        <v>10</v>
      </c>
      <c r="B324" s="3">
        <v>46174</v>
      </c>
      <c r="C324" t="s">
        <v>74</v>
      </c>
    </row>
    <row r="325" spans="1:3" x14ac:dyDescent="0.3">
      <c r="A325" t="s">
        <v>11</v>
      </c>
      <c r="B325" s="3">
        <v>46174</v>
      </c>
      <c r="C325" t="s">
        <v>73</v>
      </c>
    </row>
    <row r="326" spans="1:3" x14ac:dyDescent="0.3">
      <c r="A326" t="s">
        <v>12</v>
      </c>
      <c r="B326" s="3">
        <v>46174</v>
      </c>
      <c r="C326" t="s">
        <v>73</v>
      </c>
    </row>
    <row r="327" spans="1:3" x14ac:dyDescent="0.3">
      <c r="A327" t="s">
        <v>69</v>
      </c>
      <c r="B327" s="3">
        <v>46174</v>
      </c>
      <c r="C327" t="s">
        <v>74</v>
      </c>
    </row>
    <row r="328" spans="1:3" x14ac:dyDescent="0.3">
      <c r="A328" t="s">
        <v>14</v>
      </c>
      <c r="B328" s="3">
        <v>46174</v>
      </c>
      <c r="C328" t="s">
        <v>74</v>
      </c>
    </row>
    <row r="329" spans="1:3" x14ac:dyDescent="0.3">
      <c r="A329" t="s">
        <v>15</v>
      </c>
      <c r="B329" s="3">
        <v>46174</v>
      </c>
      <c r="C329" t="s">
        <v>73</v>
      </c>
    </row>
    <row r="330" spans="1:3" x14ac:dyDescent="0.3">
      <c r="A330" t="s">
        <v>16</v>
      </c>
      <c r="B330" s="3">
        <v>46174</v>
      </c>
      <c r="C330" t="s">
        <v>73</v>
      </c>
    </row>
    <row r="331" spans="1:3" x14ac:dyDescent="0.3">
      <c r="A331" t="s">
        <v>17</v>
      </c>
      <c r="B331" s="3">
        <v>46174</v>
      </c>
      <c r="C331" t="s">
        <v>74</v>
      </c>
    </row>
    <row r="332" spans="1:3" x14ac:dyDescent="0.3">
      <c r="A332" t="s">
        <v>18</v>
      </c>
      <c r="B332" s="3">
        <v>46174</v>
      </c>
      <c r="C332" t="s">
        <v>73</v>
      </c>
    </row>
    <row r="333" spans="1:3" x14ac:dyDescent="0.3">
      <c r="A333" t="s">
        <v>70</v>
      </c>
      <c r="B333" s="3">
        <v>46174</v>
      </c>
      <c r="C333" t="s">
        <v>74</v>
      </c>
    </row>
    <row r="334" spans="1:3" x14ac:dyDescent="0.3">
      <c r="A334" t="s">
        <v>20</v>
      </c>
      <c r="B334" s="3">
        <v>46174</v>
      </c>
      <c r="C334" t="s">
        <v>74</v>
      </c>
    </row>
    <row r="335" spans="1:3" x14ac:dyDescent="0.3">
      <c r="A335" t="s">
        <v>21</v>
      </c>
      <c r="B335" s="3">
        <v>46174</v>
      </c>
      <c r="C335" t="s">
        <v>74</v>
      </c>
    </row>
    <row r="336" spans="1:3" x14ac:dyDescent="0.3">
      <c r="A336" t="s">
        <v>22</v>
      </c>
      <c r="B336" s="3">
        <v>46174</v>
      </c>
      <c r="C336" t="s">
        <v>73</v>
      </c>
    </row>
    <row r="337" spans="1:4" x14ac:dyDescent="0.3">
      <c r="A337" t="s">
        <v>23</v>
      </c>
      <c r="B337" s="3">
        <v>46174</v>
      </c>
      <c r="C337" t="s">
        <v>74</v>
      </c>
    </row>
    <row r="338" spans="1:4" x14ac:dyDescent="0.3">
      <c r="A338" t="s">
        <v>24</v>
      </c>
      <c r="B338" s="3">
        <v>46174</v>
      </c>
      <c r="C338" t="s">
        <v>73</v>
      </c>
    </row>
    <row r="339" spans="1:4" x14ac:dyDescent="0.3">
      <c r="A339" t="s">
        <v>25</v>
      </c>
      <c r="B339" s="3">
        <v>46174</v>
      </c>
      <c r="C339" t="s">
        <v>73</v>
      </c>
    </row>
    <row r="340" spans="1:4" x14ac:dyDescent="0.3">
      <c r="A340" t="s">
        <v>26</v>
      </c>
      <c r="B340" s="3">
        <v>46174</v>
      </c>
      <c r="C340" t="s">
        <v>73</v>
      </c>
    </row>
    <row r="341" spans="1:4" x14ac:dyDescent="0.3">
      <c r="A341" t="s">
        <v>27</v>
      </c>
      <c r="B341" s="3">
        <v>46174</v>
      </c>
      <c r="C341" t="s">
        <v>73</v>
      </c>
    </row>
    <row r="342" spans="1:4" x14ac:dyDescent="0.3">
      <c r="A342" t="s">
        <v>28</v>
      </c>
      <c r="B342" s="3">
        <v>46174</v>
      </c>
      <c r="C342" t="s">
        <v>73</v>
      </c>
    </row>
    <row r="343" spans="1:4" x14ac:dyDescent="0.3">
      <c r="A343" t="s">
        <v>29</v>
      </c>
      <c r="B343" s="3">
        <v>46174</v>
      </c>
      <c r="C343" t="s">
        <v>73</v>
      </c>
    </row>
    <row r="344" spans="1:4" x14ac:dyDescent="0.3">
      <c r="A344" t="s">
        <v>30</v>
      </c>
      <c r="B344" s="3">
        <v>46174</v>
      </c>
      <c r="C344" t="s">
        <v>73</v>
      </c>
    </row>
    <row r="345" spans="1:4" x14ac:dyDescent="0.3">
      <c r="A345" t="s">
        <v>31</v>
      </c>
      <c r="B345" s="3">
        <v>46174</v>
      </c>
      <c r="C345" t="s">
        <v>74</v>
      </c>
    </row>
    <row r="346" spans="1:4" x14ac:dyDescent="0.3">
      <c r="A346" t="s">
        <v>32</v>
      </c>
      <c r="B346" s="3">
        <v>46174</v>
      </c>
      <c r="C346" t="s">
        <v>74</v>
      </c>
    </row>
    <row r="347" spans="1:4" x14ac:dyDescent="0.3">
      <c r="A347" t="s">
        <v>33</v>
      </c>
      <c r="B347" s="3">
        <v>46174</v>
      </c>
      <c r="C347" t="s">
        <v>74</v>
      </c>
    </row>
    <row r="348" spans="1:4" x14ac:dyDescent="0.3">
      <c r="A348" t="s">
        <v>34</v>
      </c>
      <c r="B348" s="3">
        <v>46174</v>
      </c>
      <c r="C348" t="s">
        <v>74</v>
      </c>
      <c r="D348">
        <v>251283</v>
      </c>
    </row>
    <row r="349" spans="1:4" x14ac:dyDescent="0.3">
      <c r="A349" t="s">
        <v>35</v>
      </c>
      <c r="B349" s="3">
        <v>46174</v>
      </c>
      <c r="C349" t="s">
        <v>73</v>
      </c>
    </row>
    <row r="350" spans="1:4" x14ac:dyDescent="0.3">
      <c r="A350" t="s">
        <v>36</v>
      </c>
      <c r="B350" s="3">
        <v>46174</v>
      </c>
      <c r="C350" t="s">
        <v>73</v>
      </c>
    </row>
    <row r="351" spans="1:4" x14ac:dyDescent="0.3">
      <c r="A351" t="s">
        <v>37</v>
      </c>
      <c r="B351" s="3">
        <v>46174</v>
      </c>
      <c r="C351" t="s">
        <v>73</v>
      </c>
    </row>
    <row r="352" spans="1:4" x14ac:dyDescent="0.3">
      <c r="A352" t="s">
        <v>38</v>
      </c>
      <c r="B352" s="3">
        <v>46174</v>
      </c>
      <c r="C352" t="s">
        <v>74</v>
      </c>
    </row>
    <row r="353" spans="1:3" x14ac:dyDescent="0.3">
      <c r="A353" t="s">
        <v>71</v>
      </c>
      <c r="B353" s="3">
        <v>46174</v>
      </c>
      <c r="C353" t="s">
        <v>74</v>
      </c>
    </row>
    <row r="354" spans="1:3" x14ac:dyDescent="0.3">
      <c r="A354" t="s">
        <v>40</v>
      </c>
      <c r="B354" s="3">
        <v>46174</v>
      </c>
      <c r="C354" t="s">
        <v>73</v>
      </c>
    </row>
    <row r="355" spans="1:3" x14ac:dyDescent="0.3">
      <c r="A355" t="s">
        <v>41</v>
      </c>
      <c r="B355" s="3">
        <v>46174</v>
      </c>
      <c r="C355" t="s">
        <v>73</v>
      </c>
    </row>
    <row r="356" spans="1:3" x14ac:dyDescent="0.3">
      <c r="A356" t="s">
        <v>42</v>
      </c>
      <c r="B356" s="3">
        <v>46174</v>
      </c>
      <c r="C356" t="s">
        <v>73</v>
      </c>
    </row>
    <row r="357" spans="1:3" x14ac:dyDescent="0.3">
      <c r="A357" t="s">
        <v>43</v>
      </c>
      <c r="B357" s="3">
        <v>46174</v>
      </c>
      <c r="C357" t="s">
        <v>73</v>
      </c>
    </row>
    <row r="358" spans="1:3" x14ac:dyDescent="0.3">
      <c r="A358" t="s">
        <v>44</v>
      </c>
      <c r="B358" s="3">
        <v>46174</v>
      </c>
      <c r="C358" t="s">
        <v>73</v>
      </c>
    </row>
    <row r="359" spans="1:3" x14ac:dyDescent="0.3">
      <c r="A359" t="s">
        <v>45</v>
      </c>
      <c r="B359" s="3">
        <v>46174</v>
      </c>
      <c r="C359" t="s">
        <v>74</v>
      </c>
    </row>
    <row r="360" spans="1:3" x14ac:dyDescent="0.3">
      <c r="A360" t="s">
        <v>46</v>
      </c>
      <c r="B360" s="3">
        <v>46174</v>
      </c>
      <c r="C360" t="s">
        <v>74</v>
      </c>
    </row>
    <row r="361" spans="1:3" x14ac:dyDescent="0.3">
      <c r="A361" t="s">
        <v>72</v>
      </c>
      <c r="B361" s="3">
        <v>46174</v>
      </c>
      <c r="C361" t="s">
        <v>74</v>
      </c>
    </row>
    <row r="362" spans="1:3" x14ac:dyDescent="0.3">
      <c r="A362" t="s">
        <v>48</v>
      </c>
      <c r="B362" s="3">
        <v>46174</v>
      </c>
      <c r="C362" t="s">
        <v>73</v>
      </c>
    </row>
    <row r="363" spans="1:3" x14ac:dyDescent="0.3">
      <c r="A363" t="s">
        <v>49</v>
      </c>
      <c r="B363" s="3">
        <v>46174</v>
      </c>
      <c r="C363" t="s">
        <v>73</v>
      </c>
    </row>
    <row r="364" spans="1:3" x14ac:dyDescent="0.3">
      <c r="A364" t="s">
        <v>50</v>
      </c>
      <c r="B364" s="3">
        <v>46174</v>
      </c>
      <c r="C364" t="s">
        <v>73</v>
      </c>
    </row>
    <row r="365" spans="1:3" x14ac:dyDescent="0.3">
      <c r="A365" t="s">
        <v>63</v>
      </c>
      <c r="B365" s="3">
        <v>46174</v>
      </c>
      <c r="C365" t="s">
        <v>82</v>
      </c>
    </row>
    <row r="366" spans="1:3" x14ac:dyDescent="0.3">
      <c r="A366" t="s">
        <v>0</v>
      </c>
      <c r="B366" s="3">
        <v>46204</v>
      </c>
      <c r="C366" t="s">
        <v>73</v>
      </c>
    </row>
    <row r="367" spans="1:3" x14ac:dyDescent="0.3">
      <c r="A367" t="s">
        <v>1</v>
      </c>
      <c r="B367" s="3">
        <v>46204</v>
      </c>
      <c r="C367" t="s">
        <v>73</v>
      </c>
    </row>
    <row r="368" spans="1:3" x14ac:dyDescent="0.3">
      <c r="A368" t="s">
        <v>2</v>
      </c>
      <c r="B368" s="3">
        <v>46204</v>
      </c>
      <c r="C368" t="s">
        <v>73</v>
      </c>
    </row>
    <row r="369" spans="1:3" x14ac:dyDescent="0.3">
      <c r="A369" t="s">
        <v>3</v>
      </c>
      <c r="B369" s="3">
        <v>46204</v>
      </c>
      <c r="C369" t="s">
        <v>73</v>
      </c>
    </row>
    <row r="370" spans="1:3" x14ac:dyDescent="0.3">
      <c r="A370" t="s">
        <v>65</v>
      </c>
      <c r="B370" s="3">
        <v>46204</v>
      </c>
      <c r="C370" t="s">
        <v>74</v>
      </c>
    </row>
    <row r="371" spans="1:3" x14ac:dyDescent="0.3">
      <c r="A371" t="s">
        <v>66</v>
      </c>
      <c r="B371" s="3">
        <v>46204</v>
      </c>
      <c r="C371" t="s">
        <v>74</v>
      </c>
    </row>
    <row r="372" spans="1:3" x14ac:dyDescent="0.3">
      <c r="A372" t="s">
        <v>67</v>
      </c>
      <c r="B372" s="3">
        <v>46204</v>
      </c>
      <c r="C372" t="s">
        <v>74</v>
      </c>
    </row>
    <row r="373" spans="1:3" x14ac:dyDescent="0.3">
      <c r="A373" t="s">
        <v>68</v>
      </c>
      <c r="B373" s="3">
        <v>46204</v>
      </c>
      <c r="C373" t="s">
        <v>74</v>
      </c>
    </row>
    <row r="374" spans="1:3" x14ac:dyDescent="0.3">
      <c r="A374" t="s">
        <v>8</v>
      </c>
      <c r="B374" s="3">
        <v>46204</v>
      </c>
      <c r="C374" t="s">
        <v>73</v>
      </c>
    </row>
    <row r="375" spans="1:3" x14ac:dyDescent="0.3">
      <c r="A375" t="s">
        <v>9</v>
      </c>
      <c r="B375" s="3">
        <v>46204</v>
      </c>
      <c r="C375" t="s">
        <v>73</v>
      </c>
    </row>
    <row r="376" spans="1:3" x14ac:dyDescent="0.3">
      <c r="A376" t="s">
        <v>10</v>
      </c>
      <c r="B376" s="3">
        <v>46204</v>
      </c>
      <c r="C376" t="s">
        <v>74</v>
      </c>
    </row>
    <row r="377" spans="1:3" x14ac:dyDescent="0.3">
      <c r="A377" t="s">
        <v>11</v>
      </c>
      <c r="B377" s="3">
        <v>46204</v>
      </c>
      <c r="C377" t="s">
        <v>73</v>
      </c>
    </row>
    <row r="378" spans="1:3" x14ac:dyDescent="0.3">
      <c r="A378" t="s">
        <v>12</v>
      </c>
      <c r="B378" s="3">
        <v>46204</v>
      </c>
      <c r="C378" t="s">
        <v>73</v>
      </c>
    </row>
    <row r="379" spans="1:3" x14ac:dyDescent="0.3">
      <c r="A379" t="s">
        <v>69</v>
      </c>
      <c r="B379" s="3">
        <v>46204</v>
      </c>
      <c r="C379" t="s">
        <v>74</v>
      </c>
    </row>
    <row r="380" spans="1:3" x14ac:dyDescent="0.3">
      <c r="A380" t="s">
        <v>14</v>
      </c>
      <c r="B380" s="3">
        <v>46204</v>
      </c>
      <c r="C380" t="s">
        <v>74</v>
      </c>
    </row>
    <row r="381" spans="1:3" x14ac:dyDescent="0.3">
      <c r="A381" t="s">
        <v>15</v>
      </c>
      <c r="B381" s="3">
        <v>46204</v>
      </c>
      <c r="C381" t="s">
        <v>73</v>
      </c>
    </row>
    <row r="382" spans="1:3" x14ac:dyDescent="0.3">
      <c r="A382" t="s">
        <v>16</v>
      </c>
      <c r="B382" s="3">
        <v>46204</v>
      </c>
      <c r="C382" t="s">
        <v>73</v>
      </c>
    </row>
    <row r="383" spans="1:3" x14ac:dyDescent="0.3">
      <c r="A383" t="s">
        <v>17</v>
      </c>
      <c r="B383" s="3">
        <v>46204</v>
      </c>
      <c r="C383" t="s">
        <v>74</v>
      </c>
    </row>
    <row r="384" spans="1:3" x14ac:dyDescent="0.3">
      <c r="A384" t="s">
        <v>18</v>
      </c>
      <c r="B384" s="3">
        <v>46204</v>
      </c>
      <c r="C384" t="s">
        <v>73</v>
      </c>
    </row>
    <row r="385" spans="1:4" x14ac:dyDescent="0.3">
      <c r="A385" t="s">
        <v>70</v>
      </c>
      <c r="B385" s="3">
        <v>46204</v>
      </c>
      <c r="C385" t="s">
        <v>74</v>
      </c>
    </row>
    <row r="386" spans="1:4" x14ac:dyDescent="0.3">
      <c r="A386" t="s">
        <v>20</v>
      </c>
      <c r="B386" s="3">
        <v>46204</v>
      </c>
      <c r="C386" t="s">
        <v>74</v>
      </c>
    </row>
    <row r="387" spans="1:4" x14ac:dyDescent="0.3">
      <c r="A387" t="s">
        <v>21</v>
      </c>
      <c r="B387" s="3">
        <v>46204</v>
      </c>
      <c r="C387" t="s">
        <v>74</v>
      </c>
    </row>
    <row r="388" spans="1:4" x14ac:dyDescent="0.3">
      <c r="A388" t="s">
        <v>22</v>
      </c>
      <c r="B388" s="3">
        <v>46204</v>
      </c>
      <c r="C388" t="s">
        <v>73</v>
      </c>
    </row>
    <row r="389" spans="1:4" x14ac:dyDescent="0.3">
      <c r="A389" t="s">
        <v>23</v>
      </c>
      <c r="B389" s="3">
        <v>46204</v>
      </c>
      <c r="C389" t="s">
        <v>74</v>
      </c>
    </row>
    <row r="390" spans="1:4" x14ac:dyDescent="0.3">
      <c r="A390" t="s">
        <v>24</v>
      </c>
      <c r="B390" s="3">
        <v>46204</v>
      </c>
      <c r="C390" t="s">
        <v>73</v>
      </c>
    </row>
    <row r="391" spans="1:4" x14ac:dyDescent="0.3">
      <c r="A391" t="s">
        <v>25</v>
      </c>
      <c r="B391" s="3">
        <v>46204</v>
      </c>
      <c r="C391" t="s">
        <v>73</v>
      </c>
    </row>
    <row r="392" spans="1:4" x14ac:dyDescent="0.3">
      <c r="A392" t="s">
        <v>26</v>
      </c>
      <c r="B392" s="3">
        <v>46204</v>
      </c>
      <c r="C392" t="s">
        <v>73</v>
      </c>
    </row>
    <row r="393" spans="1:4" x14ac:dyDescent="0.3">
      <c r="A393" t="s">
        <v>27</v>
      </c>
      <c r="B393" s="3">
        <v>46204</v>
      </c>
      <c r="C393" t="s">
        <v>73</v>
      </c>
    </row>
    <row r="394" spans="1:4" x14ac:dyDescent="0.3">
      <c r="A394" t="s">
        <v>28</v>
      </c>
      <c r="B394" s="3">
        <v>46204</v>
      </c>
      <c r="C394" t="s">
        <v>73</v>
      </c>
    </row>
    <row r="395" spans="1:4" x14ac:dyDescent="0.3">
      <c r="A395" t="s">
        <v>29</v>
      </c>
      <c r="B395" s="3">
        <v>46204</v>
      </c>
      <c r="C395" t="s">
        <v>73</v>
      </c>
    </row>
    <row r="396" spans="1:4" x14ac:dyDescent="0.3">
      <c r="A396" t="s">
        <v>30</v>
      </c>
      <c r="B396" s="3">
        <v>46204</v>
      </c>
      <c r="C396" t="s">
        <v>73</v>
      </c>
    </row>
    <row r="397" spans="1:4" x14ac:dyDescent="0.3">
      <c r="A397" t="s">
        <v>31</v>
      </c>
      <c r="B397" s="3">
        <v>46204</v>
      </c>
      <c r="C397" t="s">
        <v>74</v>
      </c>
    </row>
    <row r="398" spans="1:4" x14ac:dyDescent="0.3">
      <c r="A398" t="s">
        <v>32</v>
      </c>
      <c r="B398" s="3">
        <v>46204</v>
      </c>
      <c r="C398" t="s">
        <v>74</v>
      </c>
    </row>
    <row r="399" spans="1:4" x14ac:dyDescent="0.3">
      <c r="A399" t="s">
        <v>33</v>
      </c>
      <c r="B399" s="3">
        <v>46204</v>
      </c>
      <c r="C399" t="s">
        <v>74</v>
      </c>
    </row>
    <row r="400" spans="1:4" x14ac:dyDescent="0.3">
      <c r="A400" t="s">
        <v>34</v>
      </c>
      <c r="B400" s="3">
        <v>46204</v>
      </c>
      <c r="C400" t="s">
        <v>74</v>
      </c>
      <c r="D400">
        <v>263728</v>
      </c>
    </row>
    <row r="401" spans="1:3" x14ac:dyDescent="0.3">
      <c r="A401" t="s">
        <v>35</v>
      </c>
      <c r="B401" s="3">
        <v>46204</v>
      </c>
      <c r="C401" t="s">
        <v>73</v>
      </c>
    </row>
    <row r="402" spans="1:3" x14ac:dyDescent="0.3">
      <c r="A402" t="s">
        <v>36</v>
      </c>
      <c r="B402" s="3">
        <v>46204</v>
      </c>
      <c r="C402" t="s">
        <v>73</v>
      </c>
    </row>
    <row r="403" spans="1:3" x14ac:dyDescent="0.3">
      <c r="A403" t="s">
        <v>37</v>
      </c>
      <c r="B403" s="3">
        <v>46204</v>
      </c>
      <c r="C403" t="s">
        <v>73</v>
      </c>
    </row>
    <row r="404" spans="1:3" x14ac:dyDescent="0.3">
      <c r="A404" t="s">
        <v>38</v>
      </c>
      <c r="B404" s="3">
        <v>46204</v>
      </c>
      <c r="C404" t="s">
        <v>74</v>
      </c>
    </row>
    <row r="405" spans="1:3" x14ac:dyDescent="0.3">
      <c r="A405" t="s">
        <v>71</v>
      </c>
      <c r="B405" s="3">
        <v>46204</v>
      </c>
      <c r="C405" t="s">
        <v>74</v>
      </c>
    </row>
    <row r="406" spans="1:3" x14ac:dyDescent="0.3">
      <c r="A406" t="s">
        <v>40</v>
      </c>
      <c r="B406" s="3">
        <v>46204</v>
      </c>
      <c r="C406" t="s">
        <v>73</v>
      </c>
    </row>
    <row r="407" spans="1:3" x14ac:dyDescent="0.3">
      <c r="A407" t="s">
        <v>41</v>
      </c>
      <c r="B407" s="3">
        <v>46204</v>
      </c>
      <c r="C407" t="s">
        <v>73</v>
      </c>
    </row>
    <row r="408" spans="1:3" x14ac:dyDescent="0.3">
      <c r="A408" t="s">
        <v>42</v>
      </c>
      <c r="B408" s="3">
        <v>46204</v>
      </c>
      <c r="C408" t="s">
        <v>73</v>
      </c>
    </row>
    <row r="409" spans="1:3" x14ac:dyDescent="0.3">
      <c r="A409" t="s">
        <v>43</v>
      </c>
      <c r="B409" s="3">
        <v>46204</v>
      </c>
      <c r="C409" t="s">
        <v>73</v>
      </c>
    </row>
    <row r="410" spans="1:3" x14ac:dyDescent="0.3">
      <c r="A410" t="s">
        <v>44</v>
      </c>
      <c r="B410" s="3">
        <v>46204</v>
      </c>
      <c r="C410" t="s">
        <v>73</v>
      </c>
    </row>
    <row r="411" spans="1:3" x14ac:dyDescent="0.3">
      <c r="A411" t="s">
        <v>45</v>
      </c>
      <c r="B411" s="3">
        <v>46204</v>
      </c>
      <c r="C411" t="s">
        <v>74</v>
      </c>
    </row>
    <row r="412" spans="1:3" x14ac:dyDescent="0.3">
      <c r="A412" t="s">
        <v>46</v>
      </c>
      <c r="B412" s="3">
        <v>46204</v>
      </c>
      <c r="C412" t="s">
        <v>74</v>
      </c>
    </row>
    <row r="413" spans="1:3" x14ac:dyDescent="0.3">
      <c r="A413" t="s">
        <v>72</v>
      </c>
      <c r="B413" s="3">
        <v>46204</v>
      </c>
      <c r="C413" t="s">
        <v>74</v>
      </c>
    </row>
    <row r="414" spans="1:3" x14ac:dyDescent="0.3">
      <c r="A414" t="s">
        <v>48</v>
      </c>
      <c r="B414" s="3">
        <v>46204</v>
      </c>
      <c r="C414" t="s">
        <v>73</v>
      </c>
    </row>
    <row r="415" spans="1:3" x14ac:dyDescent="0.3">
      <c r="A415" t="s">
        <v>49</v>
      </c>
      <c r="B415" s="3">
        <v>46204</v>
      </c>
      <c r="C415" t="s">
        <v>73</v>
      </c>
    </row>
    <row r="416" spans="1:3" x14ac:dyDescent="0.3">
      <c r="A416" t="s">
        <v>50</v>
      </c>
      <c r="B416" s="3">
        <v>46204</v>
      </c>
      <c r="C416" t="s">
        <v>73</v>
      </c>
    </row>
    <row r="417" spans="1:3" x14ac:dyDescent="0.3">
      <c r="A417" t="s">
        <v>63</v>
      </c>
      <c r="B417" s="3">
        <v>46204</v>
      </c>
      <c r="C417" t="s">
        <v>82</v>
      </c>
    </row>
    <row r="418" spans="1:3" x14ac:dyDescent="0.3">
      <c r="A418" t="s">
        <v>0</v>
      </c>
      <c r="B418" s="3">
        <v>46235</v>
      </c>
      <c r="C418" t="s">
        <v>73</v>
      </c>
    </row>
    <row r="419" spans="1:3" x14ac:dyDescent="0.3">
      <c r="A419" t="s">
        <v>1</v>
      </c>
      <c r="B419" s="3">
        <v>46235</v>
      </c>
      <c r="C419" t="s">
        <v>73</v>
      </c>
    </row>
    <row r="420" spans="1:3" x14ac:dyDescent="0.3">
      <c r="A420" t="s">
        <v>2</v>
      </c>
      <c r="B420" s="3">
        <v>46235</v>
      </c>
      <c r="C420" t="s">
        <v>73</v>
      </c>
    </row>
    <row r="421" spans="1:3" x14ac:dyDescent="0.3">
      <c r="A421" t="s">
        <v>3</v>
      </c>
      <c r="B421" s="3">
        <v>46235</v>
      </c>
      <c r="C421" t="s">
        <v>73</v>
      </c>
    </row>
    <row r="422" spans="1:3" x14ac:dyDescent="0.3">
      <c r="A422" t="s">
        <v>65</v>
      </c>
      <c r="B422" s="3">
        <v>46235</v>
      </c>
      <c r="C422" t="s">
        <v>74</v>
      </c>
    </row>
    <row r="423" spans="1:3" x14ac:dyDescent="0.3">
      <c r="A423" t="s">
        <v>66</v>
      </c>
      <c r="B423" s="3">
        <v>46235</v>
      </c>
      <c r="C423" t="s">
        <v>74</v>
      </c>
    </row>
    <row r="424" spans="1:3" x14ac:dyDescent="0.3">
      <c r="A424" t="s">
        <v>67</v>
      </c>
      <c r="B424" s="3">
        <v>46235</v>
      </c>
      <c r="C424" t="s">
        <v>74</v>
      </c>
    </row>
    <row r="425" spans="1:3" x14ac:dyDescent="0.3">
      <c r="A425" t="s">
        <v>68</v>
      </c>
      <c r="B425" s="3">
        <v>46235</v>
      </c>
      <c r="C425" t="s">
        <v>74</v>
      </c>
    </row>
    <row r="426" spans="1:3" x14ac:dyDescent="0.3">
      <c r="A426" t="s">
        <v>8</v>
      </c>
      <c r="B426" s="3">
        <v>46235</v>
      </c>
      <c r="C426" t="s">
        <v>73</v>
      </c>
    </row>
    <row r="427" spans="1:3" x14ac:dyDescent="0.3">
      <c r="A427" t="s">
        <v>9</v>
      </c>
      <c r="B427" s="3">
        <v>46235</v>
      </c>
      <c r="C427" t="s">
        <v>73</v>
      </c>
    </row>
    <row r="428" spans="1:3" x14ac:dyDescent="0.3">
      <c r="A428" t="s">
        <v>10</v>
      </c>
      <c r="B428" s="3">
        <v>46235</v>
      </c>
      <c r="C428" t="s">
        <v>74</v>
      </c>
    </row>
    <row r="429" spans="1:3" x14ac:dyDescent="0.3">
      <c r="A429" t="s">
        <v>11</v>
      </c>
      <c r="B429" s="3">
        <v>46235</v>
      </c>
      <c r="C429" t="s">
        <v>73</v>
      </c>
    </row>
    <row r="430" spans="1:3" x14ac:dyDescent="0.3">
      <c r="A430" t="s">
        <v>12</v>
      </c>
      <c r="B430" s="3">
        <v>46235</v>
      </c>
      <c r="C430" t="s">
        <v>73</v>
      </c>
    </row>
    <row r="431" spans="1:3" x14ac:dyDescent="0.3">
      <c r="A431" t="s">
        <v>69</v>
      </c>
      <c r="B431" s="3">
        <v>46235</v>
      </c>
      <c r="C431" t="s">
        <v>74</v>
      </c>
    </row>
    <row r="432" spans="1:3" x14ac:dyDescent="0.3">
      <c r="A432" t="s">
        <v>14</v>
      </c>
      <c r="B432" s="3">
        <v>46235</v>
      </c>
      <c r="C432" t="s">
        <v>74</v>
      </c>
    </row>
    <row r="433" spans="1:3" x14ac:dyDescent="0.3">
      <c r="A433" t="s">
        <v>15</v>
      </c>
      <c r="B433" s="3">
        <v>46235</v>
      </c>
      <c r="C433" t="s">
        <v>73</v>
      </c>
    </row>
    <row r="434" spans="1:3" x14ac:dyDescent="0.3">
      <c r="A434" t="s">
        <v>16</v>
      </c>
      <c r="B434" s="3">
        <v>46235</v>
      </c>
      <c r="C434" t="s">
        <v>73</v>
      </c>
    </row>
    <row r="435" spans="1:3" x14ac:dyDescent="0.3">
      <c r="A435" t="s">
        <v>17</v>
      </c>
      <c r="B435" s="3">
        <v>46235</v>
      </c>
      <c r="C435" t="s">
        <v>74</v>
      </c>
    </row>
    <row r="436" spans="1:3" x14ac:dyDescent="0.3">
      <c r="A436" t="s">
        <v>18</v>
      </c>
      <c r="B436" s="3">
        <v>46235</v>
      </c>
      <c r="C436" t="s">
        <v>73</v>
      </c>
    </row>
    <row r="437" spans="1:3" x14ac:dyDescent="0.3">
      <c r="A437" t="s">
        <v>70</v>
      </c>
      <c r="B437" s="3">
        <v>46235</v>
      </c>
      <c r="C437" t="s">
        <v>74</v>
      </c>
    </row>
    <row r="438" spans="1:3" x14ac:dyDescent="0.3">
      <c r="A438" t="s">
        <v>20</v>
      </c>
      <c r="B438" s="3">
        <v>46235</v>
      </c>
      <c r="C438" t="s">
        <v>74</v>
      </c>
    </row>
    <row r="439" spans="1:3" x14ac:dyDescent="0.3">
      <c r="A439" t="s">
        <v>21</v>
      </c>
      <c r="B439" s="3">
        <v>46235</v>
      </c>
      <c r="C439" t="s">
        <v>74</v>
      </c>
    </row>
    <row r="440" spans="1:3" x14ac:dyDescent="0.3">
      <c r="A440" t="s">
        <v>22</v>
      </c>
      <c r="B440" s="3">
        <v>46235</v>
      </c>
      <c r="C440" t="s">
        <v>73</v>
      </c>
    </row>
    <row r="441" spans="1:3" x14ac:dyDescent="0.3">
      <c r="A441" t="s">
        <v>23</v>
      </c>
      <c r="B441" s="3">
        <v>46235</v>
      </c>
      <c r="C441" t="s">
        <v>74</v>
      </c>
    </row>
    <row r="442" spans="1:3" x14ac:dyDescent="0.3">
      <c r="A442" t="s">
        <v>24</v>
      </c>
      <c r="B442" s="3">
        <v>46235</v>
      </c>
      <c r="C442" t="s">
        <v>73</v>
      </c>
    </row>
    <row r="443" spans="1:3" x14ac:dyDescent="0.3">
      <c r="A443" t="s">
        <v>25</v>
      </c>
      <c r="B443" s="3">
        <v>46235</v>
      </c>
      <c r="C443" t="s">
        <v>73</v>
      </c>
    </row>
    <row r="444" spans="1:3" x14ac:dyDescent="0.3">
      <c r="A444" t="s">
        <v>26</v>
      </c>
      <c r="B444" s="3">
        <v>46235</v>
      </c>
      <c r="C444" t="s">
        <v>73</v>
      </c>
    </row>
    <row r="445" spans="1:3" x14ac:dyDescent="0.3">
      <c r="A445" t="s">
        <v>27</v>
      </c>
      <c r="B445" s="3">
        <v>46235</v>
      </c>
      <c r="C445" t="s">
        <v>73</v>
      </c>
    </row>
    <row r="446" spans="1:3" x14ac:dyDescent="0.3">
      <c r="A446" t="s">
        <v>28</v>
      </c>
      <c r="B446" s="3">
        <v>46235</v>
      </c>
      <c r="C446" t="s">
        <v>73</v>
      </c>
    </row>
    <row r="447" spans="1:3" x14ac:dyDescent="0.3">
      <c r="A447" t="s">
        <v>29</v>
      </c>
      <c r="B447" s="3">
        <v>46235</v>
      </c>
      <c r="C447" t="s">
        <v>73</v>
      </c>
    </row>
    <row r="448" spans="1:3" x14ac:dyDescent="0.3">
      <c r="A448" t="s">
        <v>30</v>
      </c>
      <c r="B448" s="3">
        <v>46235</v>
      </c>
      <c r="C448" t="s">
        <v>73</v>
      </c>
    </row>
    <row r="449" spans="1:4" x14ac:dyDescent="0.3">
      <c r="A449" t="s">
        <v>31</v>
      </c>
      <c r="B449" s="3">
        <v>46235</v>
      </c>
      <c r="C449" t="s">
        <v>74</v>
      </c>
    </row>
    <row r="450" spans="1:4" x14ac:dyDescent="0.3">
      <c r="A450" t="s">
        <v>32</v>
      </c>
      <c r="B450" s="3">
        <v>46235</v>
      </c>
      <c r="C450" t="s">
        <v>74</v>
      </c>
    </row>
    <row r="451" spans="1:4" x14ac:dyDescent="0.3">
      <c r="A451" t="s">
        <v>33</v>
      </c>
      <c r="B451" s="3">
        <v>46235</v>
      </c>
      <c r="C451" t="s">
        <v>74</v>
      </c>
    </row>
    <row r="452" spans="1:4" x14ac:dyDescent="0.3">
      <c r="A452" t="s">
        <v>34</v>
      </c>
      <c r="B452" s="3">
        <v>46235</v>
      </c>
      <c r="C452" t="s">
        <v>74</v>
      </c>
      <c r="D452">
        <v>270050</v>
      </c>
    </row>
    <row r="453" spans="1:4" x14ac:dyDescent="0.3">
      <c r="A453" t="s">
        <v>35</v>
      </c>
      <c r="B453" s="3">
        <v>46235</v>
      </c>
      <c r="C453" t="s">
        <v>73</v>
      </c>
    </row>
    <row r="454" spans="1:4" x14ac:dyDescent="0.3">
      <c r="A454" t="s">
        <v>36</v>
      </c>
      <c r="B454" s="3">
        <v>46235</v>
      </c>
      <c r="C454" t="s">
        <v>73</v>
      </c>
    </row>
    <row r="455" spans="1:4" x14ac:dyDescent="0.3">
      <c r="A455" t="s">
        <v>37</v>
      </c>
      <c r="B455" s="3">
        <v>46235</v>
      </c>
      <c r="C455" t="s">
        <v>73</v>
      </c>
    </row>
    <row r="456" spans="1:4" x14ac:dyDescent="0.3">
      <c r="A456" t="s">
        <v>38</v>
      </c>
      <c r="B456" s="3">
        <v>46235</v>
      </c>
      <c r="C456" t="s">
        <v>74</v>
      </c>
    </row>
    <row r="457" spans="1:4" x14ac:dyDescent="0.3">
      <c r="A457" t="s">
        <v>71</v>
      </c>
      <c r="B457" s="3">
        <v>46235</v>
      </c>
      <c r="C457" t="s">
        <v>74</v>
      </c>
    </row>
    <row r="458" spans="1:4" x14ac:dyDescent="0.3">
      <c r="A458" t="s">
        <v>40</v>
      </c>
      <c r="B458" s="3">
        <v>46235</v>
      </c>
      <c r="C458" t="s">
        <v>73</v>
      </c>
    </row>
    <row r="459" spans="1:4" x14ac:dyDescent="0.3">
      <c r="A459" t="s">
        <v>41</v>
      </c>
      <c r="B459" s="3">
        <v>46235</v>
      </c>
      <c r="C459" t="s">
        <v>73</v>
      </c>
    </row>
    <row r="460" spans="1:4" x14ac:dyDescent="0.3">
      <c r="A460" t="s">
        <v>42</v>
      </c>
      <c r="B460" s="3">
        <v>46235</v>
      </c>
      <c r="C460" t="s">
        <v>73</v>
      </c>
    </row>
    <row r="461" spans="1:4" x14ac:dyDescent="0.3">
      <c r="A461" t="s">
        <v>43</v>
      </c>
      <c r="B461" s="3">
        <v>46235</v>
      </c>
      <c r="C461" t="s">
        <v>73</v>
      </c>
    </row>
    <row r="462" spans="1:4" x14ac:dyDescent="0.3">
      <c r="A462" t="s">
        <v>44</v>
      </c>
      <c r="B462" s="3">
        <v>46235</v>
      </c>
      <c r="C462" t="s">
        <v>73</v>
      </c>
    </row>
    <row r="463" spans="1:4" x14ac:dyDescent="0.3">
      <c r="A463" t="s">
        <v>45</v>
      </c>
      <c r="B463" s="3">
        <v>46235</v>
      </c>
      <c r="C463" t="s">
        <v>74</v>
      </c>
    </row>
    <row r="464" spans="1:4" x14ac:dyDescent="0.3">
      <c r="A464" t="s">
        <v>46</v>
      </c>
      <c r="B464" s="3">
        <v>46235</v>
      </c>
      <c r="C464" t="s">
        <v>74</v>
      </c>
    </row>
    <row r="465" spans="1:3" x14ac:dyDescent="0.3">
      <c r="A465" t="s">
        <v>72</v>
      </c>
      <c r="B465" s="3">
        <v>46235</v>
      </c>
      <c r="C465" t="s">
        <v>74</v>
      </c>
    </row>
    <row r="466" spans="1:3" x14ac:dyDescent="0.3">
      <c r="A466" t="s">
        <v>48</v>
      </c>
      <c r="B466" s="3">
        <v>46235</v>
      </c>
      <c r="C466" t="s">
        <v>73</v>
      </c>
    </row>
    <row r="467" spans="1:3" x14ac:dyDescent="0.3">
      <c r="A467" t="s">
        <v>49</v>
      </c>
      <c r="B467" s="3">
        <v>46235</v>
      </c>
      <c r="C467" t="s">
        <v>73</v>
      </c>
    </row>
    <row r="468" spans="1:3" x14ac:dyDescent="0.3">
      <c r="A468" t="s">
        <v>50</v>
      </c>
      <c r="B468" s="3">
        <v>46235</v>
      </c>
      <c r="C468" t="s">
        <v>73</v>
      </c>
    </row>
    <row r="469" spans="1:3" x14ac:dyDescent="0.3">
      <c r="A469" t="s">
        <v>63</v>
      </c>
      <c r="B469" s="3">
        <v>46235</v>
      </c>
      <c r="C469" t="s">
        <v>82</v>
      </c>
    </row>
  </sheetData>
  <autoFilter ref="A1:A313" xr:uid="{F500077B-CC04-42DE-B4CB-18359DAB49B8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A8F5-0D2F-4931-A7B3-5A21B2626B66}">
  <dimension ref="A1:D209"/>
  <sheetViews>
    <sheetView topLeftCell="A187" workbookViewId="0">
      <selection activeCell="D159" sqref="D159:D209"/>
    </sheetView>
  </sheetViews>
  <sheetFormatPr defaultRowHeight="14.4" x14ac:dyDescent="0.3"/>
  <cols>
    <col min="1" max="1" width="12.44140625" bestFit="1" customWidth="1"/>
    <col min="4" max="4" width="21" bestFit="1" customWidth="1"/>
  </cols>
  <sheetData>
    <row r="1" spans="1:4" x14ac:dyDescent="0.3">
      <c r="A1" t="s">
        <v>51</v>
      </c>
      <c r="B1" t="s">
        <v>95</v>
      </c>
      <c r="C1" t="s">
        <v>96</v>
      </c>
      <c r="D1" t="s">
        <v>97</v>
      </c>
    </row>
    <row r="2" spans="1:4" x14ac:dyDescent="0.3">
      <c r="A2" t="s">
        <v>63</v>
      </c>
      <c r="B2">
        <v>2025</v>
      </c>
      <c r="C2" t="s">
        <v>99</v>
      </c>
      <c r="D2" s="12">
        <v>22216133</v>
      </c>
    </row>
    <row r="3" spans="1:4" x14ac:dyDescent="0.3">
      <c r="A3" t="s">
        <v>98</v>
      </c>
      <c r="B3">
        <v>2025</v>
      </c>
      <c r="C3" t="s">
        <v>99</v>
      </c>
      <c r="D3">
        <v>26264</v>
      </c>
    </row>
    <row r="4" spans="1:4" x14ac:dyDescent="0.3">
      <c r="A4" t="s">
        <v>100</v>
      </c>
      <c r="B4">
        <v>2025</v>
      </c>
      <c r="C4" t="s">
        <v>99</v>
      </c>
      <c r="D4">
        <v>433089</v>
      </c>
    </row>
    <row r="5" spans="1:4" x14ac:dyDescent="0.3">
      <c r="A5" t="s">
        <v>101</v>
      </c>
      <c r="B5">
        <v>2025</v>
      </c>
      <c r="C5" t="s">
        <v>99</v>
      </c>
      <c r="D5">
        <v>145558</v>
      </c>
    </row>
    <row r="6" spans="1:4" x14ac:dyDescent="0.3">
      <c r="A6" t="s">
        <v>102</v>
      </c>
      <c r="B6">
        <v>2025</v>
      </c>
      <c r="C6" t="s">
        <v>99</v>
      </c>
      <c r="D6">
        <v>382577</v>
      </c>
    </row>
    <row r="7" spans="1:4" x14ac:dyDescent="0.3">
      <c r="A7" t="s">
        <v>103</v>
      </c>
      <c r="B7">
        <v>2025</v>
      </c>
      <c r="C7" t="s">
        <v>99</v>
      </c>
      <c r="D7">
        <v>1896608</v>
      </c>
    </row>
    <row r="8" spans="1:4" x14ac:dyDescent="0.3">
      <c r="A8" t="s">
        <v>104</v>
      </c>
      <c r="B8">
        <v>2025</v>
      </c>
      <c r="C8" t="s">
        <v>99</v>
      </c>
      <c r="D8">
        <v>242689</v>
      </c>
    </row>
    <row r="9" spans="1:4" x14ac:dyDescent="0.3">
      <c r="A9" t="s">
        <v>105</v>
      </c>
      <c r="B9">
        <v>2025</v>
      </c>
      <c r="C9" t="s">
        <v>99</v>
      </c>
      <c r="D9">
        <v>140769</v>
      </c>
    </row>
    <row r="10" spans="1:4" x14ac:dyDescent="0.3">
      <c r="A10" t="s">
        <v>106</v>
      </c>
      <c r="B10">
        <v>2025</v>
      </c>
      <c r="C10" t="s">
        <v>99</v>
      </c>
      <c r="D10">
        <v>13020</v>
      </c>
    </row>
    <row r="11" spans="1:4" x14ac:dyDescent="0.3">
      <c r="A11" t="s">
        <v>107</v>
      </c>
      <c r="B11">
        <v>2025</v>
      </c>
      <c r="C11" t="s">
        <v>99</v>
      </c>
      <c r="D11">
        <v>47443</v>
      </c>
    </row>
    <row r="12" spans="1:4" x14ac:dyDescent="0.3">
      <c r="A12" t="s">
        <v>108</v>
      </c>
      <c r="B12">
        <v>2025</v>
      </c>
      <c r="C12" t="s">
        <v>99</v>
      </c>
      <c r="D12">
        <v>4347532</v>
      </c>
    </row>
    <row r="13" spans="1:4" x14ac:dyDescent="0.3">
      <c r="A13" t="s">
        <v>109</v>
      </c>
      <c r="B13">
        <v>2025</v>
      </c>
      <c r="C13" t="s">
        <v>99</v>
      </c>
      <c r="D13">
        <v>1357793</v>
      </c>
    </row>
    <row r="14" spans="1:4" x14ac:dyDescent="0.3">
      <c r="A14" t="s">
        <v>110</v>
      </c>
      <c r="B14">
        <v>2025</v>
      </c>
      <c r="C14" t="s">
        <v>99</v>
      </c>
      <c r="D14">
        <v>22375</v>
      </c>
    </row>
    <row r="15" spans="1:4" x14ac:dyDescent="0.3">
      <c r="A15" t="s">
        <v>111</v>
      </c>
      <c r="B15">
        <v>2025</v>
      </c>
      <c r="C15" t="s">
        <v>99</v>
      </c>
      <c r="D15">
        <v>126209</v>
      </c>
    </row>
    <row r="16" spans="1:4" x14ac:dyDescent="0.3">
      <c r="A16" t="s">
        <v>112</v>
      </c>
      <c r="B16">
        <v>2025</v>
      </c>
      <c r="C16" t="s">
        <v>99</v>
      </c>
      <c r="D16">
        <v>116563</v>
      </c>
    </row>
    <row r="17" spans="1:4" x14ac:dyDescent="0.3">
      <c r="A17" t="s">
        <v>113</v>
      </c>
      <c r="B17">
        <v>2025</v>
      </c>
      <c r="C17" t="s">
        <v>99</v>
      </c>
      <c r="D17">
        <v>409939</v>
      </c>
    </row>
    <row r="18" spans="1:4" x14ac:dyDescent="0.3">
      <c r="A18" t="s">
        <v>114</v>
      </c>
      <c r="B18">
        <v>2025</v>
      </c>
      <c r="C18" t="s">
        <v>99</v>
      </c>
      <c r="D18">
        <v>302169</v>
      </c>
    </row>
    <row r="19" spans="1:4" x14ac:dyDescent="0.3">
      <c r="A19" t="s">
        <v>115</v>
      </c>
      <c r="B19">
        <v>2025</v>
      </c>
      <c r="C19" t="s">
        <v>99</v>
      </c>
      <c r="D19">
        <v>182475</v>
      </c>
    </row>
    <row r="20" spans="1:4" x14ac:dyDescent="0.3">
      <c r="A20" t="s">
        <v>116</v>
      </c>
      <c r="B20">
        <v>2025</v>
      </c>
      <c r="C20" t="s">
        <v>99</v>
      </c>
      <c r="D20">
        <v>82826</v>
      </c>
    </row>
    <row r="21" spans="1:4" x14ac:dyDescent="0.3">
      <c r="A21" t="s">
        <v>117</v>
      </c>
      <c r="B21">
        <v>2025</v>
      </c>
      <c r="C21" t="s">
        <v>99</v>
      </c>
      <c r="D21">
        <v>265714</v>
      </c>
    </row>
    <row r="22" spans="1:4" x14ac:dyDescent="0.3">
      <c r="A22" t="s">
        <v>118</v>
      </c>
      <c r="B22">
        <v>2025</v>
      </c>
      <c r="C22" t="s">
        <v>99</v>
      </c>
      <c r="D22">
        <v>337177</v>
      </c>
    </row>
    <row r="23" spans="1:4" x14ac:dyDescent="0.3">
      <c r="A23" t="s">
        <v>119</v>
      </c>
      <c r="B23">
        <v>2025</v>
      </c>
      <c r="C23" t="s">
        <v>99</v>
      </c>
      <c r="D23">
        <v>227414</v>
      </c>
    </row>
    <row r="24" spans="1:4" x14ac:dyDescent="0.3">
      <c r="A24" t="s">
        <v>120</v>
      </c>
      <c r="B24">
        <v>2025</v>
      </c>
      <c r="C24" t="s">
        <v>99</v>
      </c>
      <c r="D24">
        <v>60197</v>
      </c>
    </row>
    <row r="25" spans="1:4" x14ac:dyDescent="0.3">
      <c r="A25" t="s">
        <v>121</v>
      </c>
      <c r="B25">
        <v>2025</v>
      </c>
      <c r="C25" t="s">
        <v>99</v>
      </c>
      <c r="D25">
        <v>485176</v>
      </c>
    </row>
    <row r="26" spans="1:4" x14ac:dyDescent="0.3">
      <c r="A26" t="s">
        <v>122</v>
      </c>
      <c r="B26">
        <v>2025</v>
      </c>
      <c r="C26" t="s">
        <v>99</v>
      </c>
      <c r="D26">
        <v>135859</v>
      </c>
    </row>
    <row r="27" spans="1:4" x14ac:dyDescent="0.3">
      <c r="A27" t="s">
        <v>123</v>
      </c>
      <c r="B27">
        <v>2025</v>
      </c>
      <c r="C27" t="s">
        <v>99</v>
      </c>
      <c r="D27">
        <v>383570</v>
      </c>
    </row>
    <row r="28" spans="1:4" x14ac:dyDescent="0.3">
      <c r="A28" t="s">
        <v>124</v>
      </c>
      <c r="B28">
        <v>2025</v>
      </c>
      <c r="C28" t="s">
        <v>99</v>
      </c>
      <c r="D28">
        <v>307387</v>
      </c>
    </row>
    <row r="29" spans="1:4" x14ac:dyDescent="0.3">
      <c r="A29" t="s">
        <v>125</v>
      </c>
      <c r="B29">
        <v>2025</v>
      </c>
      <c r="C29" t="s">
        <v>99</v>
      </c>
      <c r="D29">
        <v>71417</v>
      </c>
    </row>
    <row r="30" spans="1:4" x14ac:dyDescent="0.3">
      <c r="A30" t="s">
        <v>126</v>
      </c>
      <c r="B30">
        <v>2025</v>
      </c>
      <c r="C30" t="s">
        <v>99</v>
      </c>
      <c r="D30">
        <v>890940</v>
      </c>
    </row>
    <row r="31" spans="1:4" x14ac:dyDescent="0.3">
      <c r="A31" t="s">
        <v>127</v>
      </c>
      <c r="B31">
        <v>2025</v>
      </c>
      <c r="C31" t="s">
        <v>99</v>
      </c>
      <c r="D31">
        <v>39988</v>
      </c>
    </row>
    <row r="32" spans="1:4" x14ac:dyDescent="0.3">
      <c r="A32" t="s">
        <v>128</v>
      </c>
      <c r="B32">
        <v>2025</v>
      </c>
      <c r="C32" t="s">
        <v>99</v>
      </c>
      <c r="D32">
        <v>126839</v>
      </c>
    </row>
    <row r="33" spans="1:4" x14ac:dyDescent="0.3">
      <c r="A33" t="s">
        <v>129</v>
      </c>
      <c r="B33">
        <v>2025</v>
      </c>
      <c r="C33" t="s">
        <v>99</v>
      </c>
      <c r="D33">
        <v>64602</v>
      </c>
    </row>
    <row r="34" spans="1:4" x14ac:dyDescent="0.3">
      <c r="A34" t="s">
        <v>130</v>
      </c>
      <c r="B34">
        <v>2025</v>
      </c>
      <c r="C34" t="s">
        <v>99</v>
      </c>
      <c r="D34">
        <v>468081</v>
      </c>
    </row>
    <row r="35" spans="1:4" x14ac:dyDescent="0.3">
      <c r="A35" t="s">
        <v>131</v>
      </c>
      <c r="B35">
        <v>2025</v>
      </c>
      <c r="C35" t="s">
        <v>99</v>
      </c>
      <c r="D35">
        <v>66599</v>
      </c>
    </row>
    <row r="36" spans="1:4" x14ac:dyDescent="0.3">
      <c r="A36" t="s">
        <v>132</v>
      </c>
      <c r="B36">
        <v>2025</v>
      </c>
      <c r="C36" t="s">
        <v>99</v>
      </c>
      <c r="D36">
        <v>102013</v>
      </c>
    </row>
    <row r="37" spans="1:4" x14ac:dyDescent="0.3">
      <c r="A37" t="s">
        <v>133</v>
      </c>
      <c r="B37">
        <v>2025</v>
      </c>
      <c r="C37" t="s">
        <v>99</v>
      </c>
      <c r="D37">
        <v>193668</v>
      </c>
    </row>
    <row r="38" spans="1:4" x14ac:dyDescent="0.3">
      <c r="A38" t="s">
        <v>134</v>
      </c>
      <c r="B38">
        <v>2025</v>
      </c>
      <c r="C38" t="s">
        <v>99</v>
      </c>
      <c r="D38">
        <v>529391</v>
      </c>
    </row>
    <row r="39" spans="1:4" x14ac:dyDescent="0.3">
      <c r="A39" t="s">
        <v>135</v>
      </c>
      <c r="B39">
        <v>2025</v>
      </c>
      <c r="C39" t="s">
        <v>99</v>
      </c>
      <c r="D39">
        <v>284909</v>
      </c>
    </row>
    <row r="40" spans="1:4" x14ac:dyDescent="0.3">
      <c r="A40" t="s">
        <v>136</v>
      </c>
      <c r="B40">
        <v>2025</v>
      </c>
      <c r="C40" t="s">
        <v>99</v>
      </c>
      <c r="D40">
        <v>128075</v>
      </c>
    </row>
    <row r="41" spans="1:4" x14ac:dyDescent="0.3">
      <c r="A41" t="s">
        <v>137</v>
      </c>
      <c r="B41">
        <v>2025</v>
      </c>
      <c r="C41" t="s">
        <v>99</v>
      </c>
      <c r="D41">
        <v>454721</v>
      </c>
    </row>
    <row r="42" spans="1:4" x14ac:dyDescent="0.3">
      <c r="A42" t="s">
        <v>138</v>
      </c>
      <c r="B42">
        <v>2025</v>
      </c>
      <c r="C42" t="s">
        <v>99</v>
      </c>
      <c r="D42">
        <v>39961</v>
      </c>
    </row>
    <row r="43" spans="1:4" x14ac:dyDescent="0.3">
      <c r="A43" t="s">
        <v>139</v>
      </c>
      <c r="B43">
        <v>2025</v>
      </c>
      <c r="C43" t="s">
        <v>99</v>
      </c>
      <c r="D43">
        <v>572600</v>
      </c>
    </row>
    <row r="44" spans="1:4" x14ac:dyDescent="0.3">
      <c r="A44" t="s">
        <v>140</v>
      </c>
      <c r="B44">
        <v>2025</v>
      </c>
      <c r="C44" t="s">
        <v>99</v>
      </c>
      <c r="D44">
        <v>51358</v>
      </c>
    </row>
    <row r="45" spans="1:4" x14ac:dyDescent="0.3">
      <c r="A45" t="s">
        <v>141</v>
      </c>
      <c r="B45">
        <v>2025</v>
      </c>
      <c r="C45" t="s">
        <v>99</v>
      </c>
      <c r="D45">
        <v>583708</v>
      </c>
    </row>
    <row r="46" spans="1:4" x14ac:dyDescent="0.3">
      <c r="A46" t="s">
        <v>142</v>
      </c>
      <c r="B46">
        <v>2025</v>
      </c>
      <c r="C46" t="s">
        <v>99</v>
      </c>
      <c r="D46">
        <v>3597445</v>
      </c>
    </row>
    <row r="47" spans="1:4" x14ac:dyDescent="0.3">
      <c r="A47" t="s">
        <v>143</v>
      </c>
      <c r="B47">
        <v>2025</v>
      </c>
      <c r="C47" t="s">
        <v>99</v>
      </c>
      <c r="D47">
        <v>394099</v>
      </c>
    </row>
    <row r="48" spans="1:4" x14ac:dyDescent="0.3">
      <c r="A48" t="s">
        <v>144</v>
      </c>
      <c r="B48">
        <v>2025</v>
      </c>
      <c r="C48" t="s">
        <v>99</v>
      </c>
      <c r="D48">
        <v>365194</v>
      </c>
    </row>
    <row r="49" spans="1:4" x14ac:dyDescent="0.3">
      <c r="A49" t="s">
        <v>145</v>
      </c>
      <c r="B49">
        <v>2025</v>
      </c>
      <c r="C49" t="s">
        <v>99</v>
      </c>
      <c r="D49">
        <v>31124</v>
      </c>
    </row>
    <row r="50" spans="1:4" x14ac:dyDescent="0.3">
      <c r="A50" t="s">
        <v>146</v>
      </c>
      <c r="B50">
        <v>2025</v>
      </c>
      <c r="C50" t="s">
        <v>99</v>
      </c>
      <c r="D50">
        <v>287985</v>
      </c>
    </row>
    <row r="51" spans="1:4" x14ac:dyDescent="0.3">
      <c r="A51" t="s">
        <v>147</v>
      </c>
      <c r="B51">
        <v>2025</v>
      </c>
      <c r="C51" t="s">
        <v>99</v>
      </c>
      <c r="D51">
        <v>290117</v>
      </c>
    </row>
    <row r="52" spans="1:4" x14ac:dyDescent="0.3">
      <c r="A52" t="s">
        <v>148</v>
      </c>
      <c r="B52">
        <v>2025</v>
      </c>
      <c r="C52" t="s">
        <v>99</v>
      </c>
      <c r="D52">
        <v>60024</v>
      </c>
    </row>
    <row r="53" spans="1:4" x14ac:dyDescent="0.3">
      <c r="A53" t="s">
        <v>149</v>
      </c>
      <c r="B53">
        <v>2025</v>
      </c>
      <c r="C53" t="s">
        <v>99</v>
      </c>
      <c r="D53">
        <v>42883</v>
      </c>
    </row>
    <row r="54" spans="1:4" x14ac:dyDescent="0.3">
      <c r="A54" t="s">
        <v>63</v>
      </c>
      <c r="B54">
        <v>2025</v>
      </c>
      <c r="C54" t="s">
        <v>150</v>
      </c>
      <c r="D54">
        <v>21776626</v>
      </c>
    </row>
    <row r="55" spans="1:4" x14ac:dyDescent="0.3">
      <c r="A55" t="s">
        <v>98</v>
      </c>
      <c r="B55">
        <v>2025</v>
      </c>
      <c r="C55" t="s">
        <v>150</v>
      </c>
      <c r="D55">
        <v>27052</v>
      </c>
    </row>
    <row r="56" spans="1:4" x14ac:dyDescent="0.3">
      <c r="A56" t="s">
        <v>100</v>
      </c>
      <c r="B56">
        <v>2025</v>
      </c>
      <c r="C56" t="s">
        <v>150</v>
      </c>
      <c r="D56">
        <v>418815</v>
      </c>
    </row>
    <row r="57" spans="1:4" x14ac:dyDescent="0.3">
      <c r="A57" t="s">
        <v>101</v>
      </c>
      <c r="B57">
        <v>2025</v>
      </c>
      <c r="C57" t="s">
        <v>150</v>
      </c>
      <c r="D57">
        <v>144140</v>
      </c>
    </row>
    <row r="58" spans="1:4" x14ac:dyDescent="0.3">
      <c r="A58" t="s">
        <v>102</v>
      </c>
      <c r="B58">
        <v>2025</v>
      </c>
      <c r="C58" t="s">
        <v>150</v>
      </c>
      <c r="D58">
        <v>363110</v>
      </c>
    </row>
    <row r="59" spans="1:4" x14ac:dyDescent="0.3">
      <c r="A59" t="s">
        <v>103</v>
      </c>
      <c r="B59">
        <v>2025</v>
      </c>
      <c r="C59" t="s">
        <v>150</v>
      </c>
      <c r="D59">
        <v>1971965</v>
      </c>
    </row>
    <row r="60" spans="1:4" x14ac:dyDescent="0.3">
      <c r="A60" t="s">
        <v>104</v>
      </c>
      <c r="B60">
        <v>2025</v>
      </c>
      <c r="C60" t="s">
        <v>150</v>
      </c>
      <c r="D60">
        <v>260973</v>
      </c>
    </row>
    <row r="61" spans="1:4" x14ac:dyDescent="0.3">
      <c r="A61" t="s">
        <v>105</v>
      </c>
      <c r="B61">
        <v>2025</v>
      </c>
      <c r="C61" t="s">
        <v>150</v>
      </c>
      <c r="D61">
        <v>150483</v>
      </c>
    </row>
    <row r="62" spans="1:4" x14ac:dyDescent="0.3">
      <c r="A62" t="s">
        <v>106</v>
      </c>
      <c r="B62">
        <v>2025</v>
      </c>
      <c r="C62" t="s">
        <v>150</v>
      </c>
      <c r="D62">
        <v>13432</v>
      </c>
    </row>
    <row r="63" spans="1:4" x14ac:dyDescent="0.3">
      <c r="A63" t="s">
        <v>107</v>
      </c>
      <c r="B63">
        <v>2025</v>
      </c>
      <c r="C63" t="s">
        <v>150</v>
      </c>
      <c r="D63">
        <v>44290</v>
      </c>
    </row>
    <row r="64" spans="1:4" x14ac:dyDescent="0.3">
      <c r="A64" t="s">
        <v>108</v>
      </c>
      <c r="B64">
        <v>2025</v>
      </c>
      <c r="C64" t="s">
        <v>150</v>
      </c>
      <c r="D64">
        <v>4292372</v>
      </c>
    </row>
    <row r="65" spans="1:4" x14ac:dyDescent="0.3">
      <c r="A65" t="s">
        <v>109</v>
      </c>
      <c r="B65">
        <v>2025</v>
      </c>
      <c r="C65" t="s">
        <v>150</v>
      </c>
      <c r="D65">
        <v>1298071</v>
      </c>
    </row>
    <row r="66" spans="1:4" x14ac:dyDescent="0.3">
      <c r="A66" t="s">
        <v>110</v>
      </c>
      <c r="B66">
        <v>2025</v>
      </c>
      <c r="C66" t="s">
        <v>150</v>
      </c>
      <c r="D66">
        <v>23025</v>
      </c>
    </row>
    <row r="67" spans="1:4" x14ac:dyDescent="0.3">
      <c r="A67" t="s">
        <v>111</v>
      </c>
      <c r="B67">
        <v>2025</v>
      </c>
      <c r="C67" t="s">
        <v>150</v>
      </c>
      <c r="D67">
        <v>124311</v>
      </c>
    </row>
    <row r="68" spans="1:4" x14ac:dyDescent="0.3">
      <c r="A68" t="s">
        <v>112</v>
      </c>
      <c r="B68">
        <v>2025</v>
      </c>
      <c r="C68" t="s">
        <v>150</v>
      </c>
      <c r="D68">
        <v>116478</v>
      </c>
    </row>
    <row r="69" spans="1:4" x14ac:dyDescent="0.3">
      <c r="A69" t="s">
        <v>113</v>
      </c>
      <c r="B69">
        <v>2025</v>
      </c>
      <c r="C69" t="s">
        <v>150</v>
      </c>
      <c r="D69">
        <v>423727</v>
      </c>
    </row>
    <row r="70" spans="1:4" x14ac:dyDescent="0.3">
      <c r="A70" t="s">
        <v>114</v>
      </c>
      <c r="B70">
        <v>2025</v>
      </c>
      <c r="C70" t="s">
        <v>150</v>
      </c>
      <c r="D70">
        <v>281215</v>
      </c>
    </row>
    <row r="71" spans="1:4" x14ac:dyDescent="0.3">
      <c r="A71" t="s">
        <v>115</v>
      </c>
      <c r="B71">
        <v>2025</v>
      </c>
      <c r="C71" t="s">
        <v>150</v>
      </c>
      <c r="D71">
        <v>179920</v>
      </c>
    </row>
    <row r="72" spans="1:4" x14ac:dyDescent="0.3">
      <c r="A72" t="s">
        <v>116</v>
      </c>
      <c r="B72">
        <v>2025</v>
      </c>
      <c r="C72" t="s">
        <v>150</v>
      </c>
      <c r="D72">
        <v>90443</v>
      </c>
    </row>
    <row r="73" spans="1:4" x14ac:dyDescent="0.3">
      <c r="A73" t="s">
        <v>117</v>
      </c>
      <c r="B73">
        <v>2025</v>
      </c>
      <c r="C73" t="s">
        <v>150</v>
      </c>
      <c r="D73">
        <v>264790</v>
      </c>
    </row>
    <row r="74" spans="1:4" x14ac:dyDescent="0.3">
      <c r="A74" t="s">
        <v>118</v>
      </c>
      <c r="B74">
        <v>2025</v>
      </c>
      <c r="C74" t="s">
        <v>150</v>
      </c>
      <c r="D74">
        <v>351117</v>
      </c>
    </row>
    <row r="75" spans="1:4" x14ac:dyDescent="0.3">
      <c r="A75" t="s">
        <v>119</v>
      </c>
      <c r="B75">
        <v>2025</v>
      </c>
      <c r="C75" t="s">
        <v>150</v>
      </c>
      <c r="D75">
        <v>235924</v>
      </c>
    </row>
    <row r="76" spans="1:4" x14ac:dyDescent="0.3">
      <c r="A76" t="s">
        <v>120</v>
      </c>
      <c r="B76">
        <v>2025</v>
      </c>
      <c r="C76" t="s">
        <v>150</v>
      </c>
      <c r="D76">
        <v>62381</v>
      </c>
    </row>
    <row r="77" spans="1:4" x14ac:dyDescent="0.3">
      <c r="A77" t="s">
        <v>121</v>
      </c>
      <c r="B77">
        <v>2025</v>
      </c>
      <c r="C77" t="s">
        <v>150</v>
      </c>
      <c r="D77">
        <v>488139</v>
      </c>
    </row>
    <row r="78" spans="1:4" x14ac:dyDescent="0.3">
      <c r="A78" t="s">
        <v>122</v>
      </c>
      <c r="B78">
        <v>2025</v>
      </c>
      <c r="C78" t="s">
        <v>150</v>
      </c>
      <c r="D78">
        <v>145967</v>
      </c>
    </row>
    <row r="79" spans="1:4" x14ac:dyDescent="0.3">
      <c r="A79" t="s">
        <v>123</v>
      </c>
      <c r="B79">
        <v>2025</v>
      </c>
      <c r="C79" t="s">
        <v>150</v>
      </c>
      <c r="D79">
        <v>347424</v>
      </c>
    </row>
    <row r="80" spans="1:4" x14ac:dyDescent="0.3">
      <c r="A80" t="s">
        <v>124</v>
      </c>
      <c r="B80">
        <v>2025</v>
      </c>
      <c r="C80" t="s">
        <v>150</v>
      </c>
      <c r="D80">
        <v>260289</v>
      </c>
    </row>
    <row r="81" spans="1:4" x14ac:dyDescent="0.3">
      <c r="A81" t="s">
        <v>125</v>
      </c>
      <c r="B81">
        <v>2025</v>
      </c>
      <c r="C81" t="s">
        <v>150</v>
      </c>
      <c r="D81">
        <v>72195</v>
      </c>
    </row>
    <row r="82" spans="1:4" x14ac:dyDescent="0.3">
      <c r="A82" t="s">
        <v>126</v>
      </c>
      <c r="B82">
        <v>2025</v>
      </c>
      <c r="C82" t="s">
        <v>150</v>
      </c>
      <c r="D82">
        <v>774226</v>
      </c>
    </row>
    <row r="83" spans="1:4" x14ac:dyDescent="0.3">
      <c r="A83" t="s">
        <v>127</v>
      </c>
      <c r="B83">
        <v>2025</v>
      </c>
      <c r="C83" t="s">
        <v>150</v>
      </c>
      <c r="D83">
        <v>40650</v>
      </c>
    </row>
    <row r="84" spans="1:4" x14ac:dyDescent="0.3">
      <c r="A84" t="s">
        <v>128</v>
      </c>
      <c r="B84">
        <v>2025</v>
      </c>
      <c r="C84" t="s">
        <v>150</v>
      </c>
      <c r="D84">
        <v>130407</v>
      </c>
    </row>
    <row r="85" spans="1:4" x14ac:dyDescent="0.3">
      <c r="A85" t="s">
        <v>129</v>
      </c>
      <c r="B85">
        <v>2025</v>
      </c>
      <c r="C85" t="s">
        <v>150</v>
      </c>
      <c r="D85">
        <v>62584</v>
      </c>
    </row>
    <row r="86" spans="1:4" x14ac:dyDescent="0.3">
      <c r="A86" t="s">
        <v>130</v>
      </c>
      <c r="B86">
        <v>2025</v>
      </c>
      <c r="C86" t="s">
        <v>150</v>
      </c>
      <c r="D86">
        <v>499872</v>
      </c>
    </row>
    <row r="87" spans="1:4" x14ac:dyDescent="0.3">
      <c r="A87" t="s">
        <v>131</v>
      </c>
      <c r="B87">
        <v>2025</v>
      </c>
      <c r="C87" t="s">
        <v>150</v>
      </c>
      <c r="D87">
        <v>69915</v>
      </c>
    </row>
    <row r="88" spans="1:4" x14ac:dyDescent="0.3">
      <c r="A88" t="s">
        <v>132</v>
      </c>
      <c r="B88">
        <v>2025</v>
      </c>
      <c r="C88" t="s">
        <v>150</v>
      </c>
      <c r="D88">
        <v>107749</v>
      </c>
    </row>
    <row r="89" spans="1:4" x14ac:dyDescent="0.3">
      <c r="A89" t="s">
        <v>133</v>
      </c>
      <c r="B89">
        <v>2025</v>
      </c>
      <c r="C89" t="s">
        <v>150</v>
      </c>
      <c r="D89">
        <v>201997</v>
      </c>
    </row>
    <row r="90" spans="1:4" x14ac:dyDescent="0.3">
      <c r="A90" t="s">
        <v>134</v>
      </c>
      <c r="B90">
        <v>2025</v>
      </c>
      <c r="C90" t="s">
        <v>150</v>
      </c>
      <c r="D90">
        <v>497443</v>
      </c>
    </row>
    <row r="91" spans="1:4" x14ac:dyDescent="0.3">
      <c r="A91" t="s">
        <v>135</v>
      </c>
      <c r="B91">
        <v>2025</v>
      </c>
      <c r="C91" t="s">
        <v>150</v>
      </c>
      <c r="D91">
        <v>265157</v>
      </c>
    </row>
    <row r="92" spans="1:4" x14ac:dyDescent="0.3">
      <c r="A92" t="s">
        <v>136</v>
      </c>
      <c r="B92">
        <v>2025</v>
      </c>
      <c r="C92" t="s">
        <v>150</v>
      </c>
      <c r="D92">
        <v>129546</v>
      </c>
    </row>
    <row r="93" spans="1:4" x14ac:dyDescent="0.3">
      <c r="A93" t="s">
        <v>137</v>
      </c>
      <c r="B93">
        <v>2025</v>
      </c>
      <c r="C93" t="s">
        <v>150</v>
      </c>
      <c r="D93">
        <v>478353</v>
      </c>
    </row>
    <row r="94" spans="1:4" x14ac:dyDescent="0.3">
      <c r="A94" t="s">
        <v>138</v>
      </c>
      <c r="B94">
        <v>2025</v>
      </c>
      <c r="C94" t="s">
        <v>150</v>
      </c>
      <c r="D94">
        <v>41994</v>
      </c>
    </row>
    <row r="95" spans="1:4" x14ac:dyDescent="0.3">
      <c r="A95" t="s">
        <v>139</v>
      </c>
      <c r="B95">
        <v>2025</v>
      </c>
      <c r="C95" t="s">
        <v>150</v>
      </c>
      <c r="D95">
        <v>546335</v>
      </c>
    </row>
    <row r="96" spans="1:4" x14ac:dyDescent="0.3">
      <c r="A96" t="s">
        <v>140</v>
      </c>
      <c r="B96">
        <v>2025</v>
      </c>
      <c r="C96" t="s">
        <v>150</v>
      </c>
      <c r="D96">
        <v>51268</v>
      </c>
    </row>
    <row r="97" spans="1:4" x14ac:dyDescent="0.3">
      <c r="A97" t="s">
        <v>141</v>
      </c>
      <c r="B97">
        <v>2025</v>
      </c>
      <c r="C97" t="s">
        <v>150</v>
      </c>
      <c r="D97">
        <v>513772</v>
      </c>
    </row>
    <row r="98" spans="1:4" x14ac:dyDescent="0.3">
      <c r="A98" t="s">
        <v>142</v>
      </c>
      <c r="B98">
        <v>2025</v>
      </c>
      <c r="C98" t="s">
        <v>150</v>
      </c>
      <c r="D98">
        <v>3423543</v>
      </c>
    </row>
    <row r="99" spans="1:4" x14ac:dyDescent="0.3">
      <c r="A99" t="s">
        <v>143</v>
      </c>
      <c r="B99">
        <v>2025</v>
      </c>
      <c r="C99" t="s">
        <v>150</v>
      </c>
      <c r="D99">
        <v>400330</v>
      </c>
    </row>
    <row r="100" spans="1:4" x14ac:dyDescent="0.3">
      <c r="A100" t="s">
        <v>144</v>
      </c>
      <c r="B100">
        <v>2025</v>
      </c>
      <c r="C100" t="s">
        <v>150</v>
      </c>
      <c r="D100">
        <v>368519</v>
      </c>
    </row>
    <row r="101" spans="1:4" x14ac:dyDescent="0.3">
      <c r="A101" t="s">
        <v>145</v>
      </c>
      <c r="B101">
        <v>2025</v>
      </c>
      <c r="C101" t="s">
        <v>150</v>
      </c>
      <c r="D101">
        <v>32287</v>
      </c>
    </row>
    <row r="102" spans="1:4" x14ac:dyDescent="0.3">
      <c r="A102" t="s">
        <v>146</v>
      </c>
      <c r="B102">
        <v>2025</v>
      </c>
      <c r="C102" t="s">
        <v>150</v>
      </c>
      <c r="D102">
        <v>296073</v>
      </c>
    </row>
    <row r="103" spans="1:4" x14ac:dyDescent="0.3">
      <c r="A103" t="s">
        <v>147</v>
      </c>
      <c r="B103">
        <v>2025</v>
      </c>
      <c r="C103" t="s">
        <v>150</v>
      </c>
      <c r="D103">
        <v>291329</v>
      </c>
    </row>
    <row r="104" spans="1:4" x14ac:dyDescent="0.3">
      <c r="A104" t="s">
        <v>148</v>
      </c>
      <c r="B104">
        <v>2025</v>
      </c>
      <c r="C104" t="s">
        <v>150</v>
      </c>
      <c r="D104">
        <v>56962</v>
      </c>
    </row>
    <row r="105" spans="1:4" x14ac:dyDescent="0.3">
      <c r="A105" t="s">
        <v>149</v>
      </c>
      <c r="B105">
        <v>2025</v>
      </c>
      <c r="C105" t="s">
        <v>150</v>
      </c>
      <c r="D105">
        <v>44267</v>
      </c>
    </row>
    <row r="106" spans="1:4" x14ac:dyDescent="0.3">
      <c r="A106" t="s">
        <v>63</v>
      </c>
      <c r="B106">
        <v>2026</v>
      </c>
      <c r="C106" t="s">
        <v>99</v>
      </c>
      <c r="D106">
        <v>20191459</v>
      </c>
    </row>
    <row r="107" spans="1:4" x14ac:dyDescent="0.3">
      <c r="A107" t="s">
        <v>98</v>
      </c>
      <c r="B107">
        <v>2026</v>
      </c>
      <c r="C107" t="s">
        <v>99</v>
      </c>
      <c r="D107">
        <v>23000</v>
      </c>
    </row>
    <row r="108" spans="1:4" x14ac:dyDescent="0.3">
      <c r="A108" t="s">
        <v>100</v>
      </c>
      <c r="B108">
        <v>2026</v>
      </c>
      <c r="C108" t="s">
        <v>99</v>
      </c>
      <c r="D108">
        <v>392275</v>
      </c>
    </row>
    <row r="109" spans="1:4" x14ac:dyDescent="0.3">
      <c r="A109" t="s">
        <v>101</v>
      </c>
      <c r="B109">
        <v>2026</v>
      </c>
      <c r="C109" t="s">
        <v>99</v>
      </c>
      <c r="D109">
        <v>133280</v>
      </c>
    </row>
    <row r="110" spans="1:4" x14ac:dyDescent="0.3">
      <c r="A110" t="s">
        <v>102</v>
      </c>
      <c r="B110">
        <v>2026</v>
      </c>
      <c r="C110" t="s">
        <v>99</v>
      </c>
      <c r="D110">
        <v>293314</v>
      </c>
    </row>
    <row r="111" spans="1:4" x14ac:dyDescent="0.3">
      <c r="A111" t="s">
        <v>103</v>
      </c>
      <c r="B111">
        <v>2026</v>
      </c>
      <c r="C111" t="s">
        <v>99</v>
      </c>
      <c r="D111">
        <v>1861308</v>
      </c>
    </row>
    <row r="112" spans="1:4" x14ac:dyDescent="0.3">
      <c r="A112" t="s">
        <v>104</v>
      </c>
      <c r="B112">
        <v>2026</v>
      </c>
      <c r="C112" t="s">
        <v>99</v>
      </c>
      <c r="D112">
        <v>231903</v>
      </c>
    </row>
    <row r="113" spans="1:4" x14ac:dyDescent="0.3">
      <c r="A113" t="s">
        <v>105</v>
      </c>
      <c r="B113">
        <v>2026</v>
      </c>
      <c r="C113" t="s">
        <v>99</v>
      </c>
      <c r="D113">
        <v>138457</v>
      </c>
    </row>
    <row r="114" spans="1:4" x14ac:dyDescent="0.3">
      <c r="A114" t="s">
        <v>106</v>
      </c>
      <c r="B114">
        <v>2026</v>
      </c>
      <c r="C114" t="s">
        <v>99</v>
      </c>
      <c r="D114">
        <v>12784</v>
      </c>
    </row>
    <row r="115" spans="1:4" x14ac:dyDescent="0.3">
      <c r="A115" t="s">
        <v>107</v>
      </c>
      <c r="B115">
        <v>2026</v>
      </c>
      <c r="C115" t="s">
        <v>99</v>
      </c>
      <c r="D115">
        <v>38391</v>
      </c>
    </row>
    <row r="116" spans="1:4" x14ac:dyDescent="0.3">
      <c r="A116" t="s">
        <v>108</v>
      </c>
      <c r="B116">
        <v>2026</v>
      </c>
      <c r="C116" t="s">
        <v>99</v>
      </c>
      <c r="D116">
        <v>4011394</v>
      </c>
    </row>
    <row r="117" spans="1:4" x14ac:dyDescent="0.3">
      <c r="A117" t="s">
        <v>109</v>
      </c>
      <c r="B117">
        <v>2026</v>
      </c>
      <c r="C117" t="s">
        <v>99</v>
      </c>
      <c r="D117">
        <v>1112774</v>
      </c>
    </row>
    <row r="118" spans="1:4" x14ac:dyDescent="0.3">
      <c r="A118" t="s">
        <v>110</v>
      </c>
      <c r="B118">
        <v>2026</v>
      </c>
      <c r="C118" t="s">
        <v>99</v>
      </c>
      <c r="D118">
        <v>20328</v>
      </c>
    </row>
    <row r="119" spans="1:4" x14ac:dyDescent="0.3">
      <c r="A119" t="s">
        <v>111</v>
      </c>
      <c r="B119">
        <v>2026</v>
      </c>
      <c r="C119" t="s">
        <v>99</v>
      </c>
      <c r="D119">
        <v>111634</v>
      </c>
    </row>
    <row r="120" spans="1:4" x14ac:dyDescent="0.3">
      <c r="A120" t="s">
        <v>112</v>
      </c>
      <c r="B120">
        <v>2026</v>
      </c>
      <c r="C120" t="s">
        <v>99</v>
      </c>
      <c r="D120">
        <v>114819</v>
      </c>
    </row>
    <row r="121" spans="1:4" x14ac:dyDescent="0.3">
      <c r="A121" t="s">
        <v>113</v>
      </c>
      <c r="B121">
        <v>2026</v>
      </c>
      <c r="C121" t="s">
        <v>99</v>
      </c>
      <c r="D121">
        <v>404942</v>
      </c>
    </row>
    <row r="122" spans="1:4" x14ac:dyDescent="0.3">
      <c r="A122" t="s">
        <v>114</v>
      </c>
      <c r="B122">
        <v>2026</v>
      </c>
      <c r="C122" t="s">
        <v>99</v>
      </c>
      <c r="D122">
        <v>256548</v>
      </c>
    </row>
    <row r="123" spans="1:4" x14ac:dyDescent="0.3">
      <c r="A123" t="s">
        <v>115</v>
      </c>
      <c r="B123">
        <v>2026</v>
      </c>
      <c r="C123" t="s">
        <v>99</v>
      </c>
      <c r="D123">
        <v>165435</v>
      </c>
    </row>
    <row r="124" spans="1:4" x14ac:dyDescent="0.3">
      <c r="A124" t="s">
        <v>116</v>
      </c>
      <c r="B124">
        <v>2026</v>
      </c>
      <c r="C124" t="s">
        <v>99</v>
      </c>
      <c r="D124">
        <v>73940</v>
      </c>
    </row>
    <row r="125" spans="1:4" x14ac:dyDescent="0.3">
      <c r="A125" t="s">
        <v>117</v>
      </c>
      <c r="B125">
        <v>2026</v>
      </c>
      <c r="C125" t="s">
        <v>99</v>
      </c>
      <c r="D125">
        <v>259591</v>
      </c>
    </row>
    <row r="126" spans="1:4" x14ac:dyDescent="0.3">
      <c r="A126" t="s">
        <v>118</v>
      </c>
      <c r="B126">
        <v>2026</v>
      </c>
      <c r="C126" t="s">
        <v>99</v>
      </c>
      <c r="D126">
        <v>325683</v>
      </c>
    </row>
    <row r="127" spans="1:4" x14ac:dyDescent="0.3">
      <c r="A127" t="s">
        <v>119</v>
      </c>
      <c r="B127">
        <v>2026</v>
      </c>
      <c r="C127" t="s">
        <v>99</v>
      </c>
      <c r="D127">
        <v>230300</v>
      </c>
    </row>
    <row r="128" spans="1:4" x14ac:dyDescent="0.3">
      <c r="A128" t="s">
        <v>120</v>
      </c>
      <c r="B128">
        <v>2026</v>
      </c>
      <c r="C128" t="s">
        <v>99</v>
      </c>
      <c r="D128">
        <v>53606</v>
      </c>
    </row>
    <row r="129" spans="1:4" x14ac:dyDescent="0.3">
      <c r="A129" t="s">
        <v>121</v>
      </c>
      <c r="B129">
        <v>2026</v>
      </c>
      <c r="C129" t="s">
        <v>99</v>
      </c>
      <c r="D129">
        <v>366880</v>
      </c>
    </row>
    <row r="130" spans="1:4" x14ac:dyDescent="0.3">
      <c r="A130" t="s">
        <v>122</v>
      </c>
      <c r="B130">
        <v>2026</v>
      </c>
      <c r="C130" t="s">
        <v>99</v>
      </c>
      <c r="D130">
        <v>98472</v>
      </c>
    </row>
    <row r="131" spans="1:4" x14ac:dyDescent="0.3">
      <c r="A131" t="s">
        <v>123</v>
      </c>
      <c r="B131">
        <v>2026</v>
      </c>
      <c r="C131" t="s">
        <v>99</v>
      </c>
      <c r="D131">
        <v>314024</v>
      </c>
    </row>
    <row r="132" spans="1:4" x14ac:dyDescent="0.3">
      <c r="A132" t="s">
        <v>124</v>
      </c>
      <c r="B132">
        <v>2026</v>
      </c>
      <c r="C132" t="s">
        <v>99</v>
      </c>
      <c r="D132">
        <v>255342</v>
      </c>
    </row>
    <row r="133" spans="1:4" x14ac:dyDescent="0.3">
      <c r="A133" t="s">
        <v>125</v>
      </c>
      <c r="B133">
        <v>2026</v>
      </c>
      <c r="C133" t="s">
        <v>99</v>
      </c>
      <c r="D133">
        <v>65993</v>
      </c>
    </row>
    <row r="134" spans="1:4" x14ac:dyDescent="0.3">
      <c r="A134" t="s">
        <v>126</v>
      </c>
      <c r="B134">
        <v>2026</v>
      </c>
      <c r="C134" t="s">
        <v>99</v>
      </c>
      <c r="D134">
        <v>651513</v>
      </c>
    </row>
    <row r="135" spans="1:4" x14ac:dyDescent="0.3">
      <c r="A135" t="s">
        <v>127</v>
      </c>
      <c r="B135">
        <v>2026</v>
      </c>
      <c r="C135" t="s">
        <v>99</v>
      </c>
      <c r="D135">
        <v>37690</v>
      </c>
    </row>
    <row r="136" spans="1:4" x14ac:dyDescent="0.3">
      <c r="A136" t="s">
        <v>128</v>
      </c>
      <c r="B136">
        <v>2026</v>
      </c>
      <c r="C136" t="s">
        <v>99</v>
      </c>
      <c r="D136">
        <v>98922</v>
      </c>
    </row>
    <row r="137" spans="1:4" x14ac:dyDescent="0.3">
      <c r="A137" t="s">
        <v>129</v>
      </c>
      <c r="B137">
        <v>2026</v>
      </c>
      <c r="C137" t="s">
        <v>99</v>
      </c>
      <c r="D137">
        <v>58541</v>
      </c>
    </row>
    <row r="138" spans="1:4" x14ac:dyDescent="0.3">
      <c r="A138" t="s">
        <v>130</v>
      </c>
      <c r="B138">
        <v>2026</v>
      </c>
      <c r="C138" t="s">
        <v>99</v>
      </c>
      <c r="D138">
        <v>447676</v>
      </c>
    </row>
    <row r="139" spans="1:4" x14ac:dyDescent="0.3">
      <c r="A139" t="s">
        <v>131</v>
      </c>
      <c r="B139">
        <v>2026</v>
      </c>
      <c r="C139" t="s">
        <v>99</v>
      </c>
      <c r="D139">
        <v>76511</v>
      </c>
    </row>
    <row r="140" spans="1:4" x14ac:dyDescent="0.3">
      <c r="A140" t="s">
        <v>132</v>
      </c>
      <c r="B140">
        <v>2026</v>
      </c>
      <c r="C140" t="s">
        <v>99</v>
      </c>
      <c r="D140">
        <v>95841</v>
      </c>
    </row>
    <row r="141" spans="1:4" x14ac:dyDescent="0.3">
      <c r="A141" t="s">
        <v>133</v>
      </c>
      <c r="B141">
        <v>2026</v>
      </c>
      <c r="C141" t="s">
        <v>99</v>
      </c>
      <c r="D141">
        <v>179443</v>
      </c>
    </row>
    <row r="142" spans="1:4" x14ac:dyDescent="0.3">
      <c r="A142" t="s">
        <v>134</v>
      </c>
      <c r="B142">
        <v>2026</v>
      </c>
      <c r="C142" t="s">
        <v>99</v>
      </c>
      <c r="D142">
        <v>405517</v>
      </c>
    </row>
    <row r="143" spans="1:4" x14ac:dyDescent="0.3">
      <c r="A143" t="s">
        <v>135</v>
      </c>
      <c r="B143">
        <v>2026</v>
      </c>
      <c r="C143" t="s">
        <v>99</v>
      </c>
      <c r="D143">
        <v>227215</v>
      </c>
    </row>
    <row r="144" spans="1:4" x14ac:dyDescent="0.3">
      <c r="A144" t="s">
        <v>136</v>
      </c>
      <c r="B144">
        <v>2026</v>
      </c>
      <c r="C144" t="s">
        <v>99</v>
      </c>
      <c r="D144">
        <v>106427</v>
      </c>
    </row>
    <row r="145" spans="1:4" x14ac:dyDescent="0.3">
      <c r="A145" t="s">
        <v>137</v>
      </c>
      <c r="B145">
        <v>2026</v>
      </c>
      <c r="C145" t="s">
        <v>99</v>
      </c>
      <c r="D145">
        <v>462778</v>
      </c>
    </row>
    <row r="146" spans="1:4" x14ac:dyDescent="0.3">
      <c r="A146" t="s">
        <v>138</v>
      </c>
      <c r="B146">
        <v>2026</v>
      </c>
      <c r="C146" t="s">
        <v>99</v>
      </c>
      <c r="D146">
        <v>34973</v>
      </c>
    </row>
    <row r="147" spans="1:4" x14ac:dyDescent="0.3">
      <c r="A147" t="s">
        <v>139</v>
      </c>
      <c r="B147">
        <v>2026</v>
      </c>
      <c r="C147" t="s">
        <v>99</v>
      </c>
      <c r="D147">
        <v>490321</v>
      </c>
    </row>
    <row r="148" spans="1:4" x14ac:dyDescent="0.3">
      <c r="A148" t="s">
        <v>140</v>
      </c>
      <c r="B148">
        <v>2026</v>
      </c>
      <c r="C148" t="s">
        <v>99</v>
      </c>
      <c r="D148">
        <v>46329</v>
      </c>
    </row>
    <row r="149" spans="1:4" x14ac:dyDescent="0.3">
      <c r="A149" t="s">
        <v>141</v>
      </c>
      <c r="B149">
        <v>2026</v>
      </c>
      <c r="C149" t="s">
        <v>99</v>
      </c>
      <c r="D149">
        <v>496456</v>
      </c>
    </row>
    <row r="150" spans="1:4" x14ac:dyDescent="0.3">
      <c r="A150" t="s">
        <v>142</v>
      </c>
      <c r="B150">
        <v>2026</v>
      </c>
      <c r="C150" t="s">
        <v>99</v>
      </c>
      <c r="D150">
        <v>3607239</v>
      </c>
    </row>
    <row r="151" spans="1:4" x14ac:dyDescent="0.3">
      <c r="A151" t="s">
        <v>143</v>
      </c>
      <c r="B151">
        <v>2026</v>
      </c>
      <c r="C151" t="s">
        <v>99</v>
      </c>
      <c r="D151">
        <v>330357</v>
      </c>
    </row>
    <row r="152" spans="1:4" x14ac:dyDescent="0.3">
      <c r="A152" t="s">
        <v>144</v>
      </c>
      <c r="B152">
        <v>2026</v>
      </c>
      <c r="C152" t="s">
        <v>99</v>
      </c>
      <c r="D152">
        <v>342094</v>
      </c>
    </row>
    <row r="153" spans="1:4" x14ac:dyDescent="0.3">
      <c r="A153" t="s">
        <v>145</v>
      </c>
      <c r="B153">
        <v>2026</v>
      </c>
      <c r="C153" t="s">
        <v>99</v>
      </c>
      <c r="D153">
        <v>29120</v>
      </c>
    </row>
    <row r="154" spans="1:4" x14ac:dyDescent="0.3">
      <c r="A154" t="s">
        <v>146</v>
      </c>
      <c r="B154">
        <v>2026</v>
      </c>
      <c r="C154" t="s">
        <v>99</v>
      </c>
      <c r="D154">
        <v>258137</v>
      </c>
    </row>
    <row r="155" spans="1:4" x14ac:dyDescent="0.3">
      <c r="A155" t="s">
        <v>147</v>
      </c>
      <c r="B155">
        <v>2026</v>
      </c>
      <c r="C155" t="s">
        <v>99</v>
      </c>
      <c r="D155">
        <v>257619</v>
      </c>
    </row>
    <row r="156" spans="1:4" x14ac:dyDescent="0.3">
      <c r="A156" t="s">
        <v>148</v>
      </c>
      <c r="B156">
        <v>2026</v>
      </c>
      <c r="C156" t="s">
        <v>99</v>
      </c>
      <c r="D156">
        <v>48312</v>
      </c>
    </row>
    <row r="157" spans="1:4" x14ac:dyDescent="0.3">
      <c r="A157" t="s">
        <v>149</v>
      </c>
      <c r="B157">
        <v>2026</v>
      </c>
      <c r="C157" t="s">
        <v>99</v>
      </c>
      <c r="D157">
        <v>36011</v>
      </c>
    </row>
    <row r="158" spans="1:4" x14ac:dyDescent="0.3">
      <c r="A158" t="s">
        <v>63</v>
      </c>
      <c r="B158">
        <v>2026</v>
      </c>
      <c r="C158" t="s">
        <v>150</v>
      </c>
      <c r="D158">
        <v>19169147</v>
      </c>
    </row>
    <row r="159" spans="1:4" x14ac:dyDescent="0.3">
      <c r="A159" t="s">
        <v>98</v>
      </c>
      <c r="B159">
        <v>2026</v>
      </c>
      <c r="C159" t="s">
        <v>150</v>
      </c>
      <c r="D159">
        <v>23546</v>
      </c>
    </row>
    <row r="160" spans="1:4" x14ac:dyDescent="0.3">
      <c r="A160" t="s">
        <v>100</v>
      </c>
      <c r="B160">
        <v>2026</v>
      </c>
      <c r="C160" t="s">
        <v>150</v>
      </c>
      <c r="D160">
        <v>324504</v>
      </c>
    </row>
    <row r="161" spans="1:4" x14ac:dyDescent="0.3">
      <c r="A161" t="s">
        <v>101</v>
      </c>
      <c r="B161">
        <v>2026</v>
      </c>
      <c r="C161" t="s">
        <v>150</v>
      </c>
      <c r="D161">
        <v>129699</v>
      </c>
    </row>
    <row r="162" spans="1:4" x14ac:dyDescent="0.3">
      <c r="A162" t="s">
        <v>102</v>
      </c>
      <c r="B162">
        <v>2026</v>
      </c>
      <c r="C162" t="s">
        <v>150</v>
      </c>
      <c r="D162">
        <v>255927</v>
      </c>
    </row>
    <row r="163" spans="1:4" x14ac:dyDescent="0.3">
      <c r="A163" t="s">
        <v>103</v>
      </c>
      <c r="B163">
        <v>2026</v>
      </c>
      <c r="C163" t="s">
        <v>150</v>
      </c>
      <c r="D163">
        <v>1847315</v>
      </c>
    </row>
    <row r="164" spans="1:4" x14ac:dyDescent="0.3">
      <c r="A164" t="s">
        <v>104</v>
      </c>
      <c r="B164">
        <v>2026</v>
      </c>
      <c r="C164" t="s">
        <v>150</v>
      </c>
      <c r="D164">
        <v>242970</v>
      </c>
    </row>
    <row r="165" spans="1:4" x14ac:dyDescent="0.3">
      <c r="A165" t="s">
        <v>105</v>
      </c>
      <c r="B165">
        <v>2026</v>
      </c>
      <c r="C165" t="s">
        <v>150</v>
      </c>
      <c r="D165">
        <v>148596</v>
      </c>
    </row>
    <row r="166" spans="1:4" x14ac:dyDescent="0.3">
      <c r="A166" t="s">
        <v>106</v>
      </c>
      <c r="B166">
        <v>2026</v>
      </c>
      <c r="C166" t="s">
        <v>150</v>
      </c>
      <c r="D166">
        <v>12973</v>
      </c>
    </row>
    <row r="167" spans="1:4" x14ac:dyDescent="0.3">
      <c r="A167" t="s">
        <v>107</v>
      </c>
      <c r="B167">
        <v>2026</v>
      </c>
      <c r="C167" t="s">
        <v>150</v>
      </c>
      <c r="D167">
        <v>36282</v>
      </c>
    </row>
    <row r="168" spans="1:4" x14ac:dyDescent="0.3">
      <c r="A168" t="s">
        <v>108</v>
      </c>
      <c r="B168">
        <v>2026</v>
      </c>
      <c r="C168" t="s">
        <v>150</v>
      </c>
      <c r="D168">
        <v>3849587</v>
      </c>
    </row>
    <row r="169" spans="1:4" x14ac:dyDescent="0.3">
      <c r="A169" t="s">
        <v>109</v>
      </c>
      <c r="B169">
        <v>2026</v>
      </c>
      <c r="C169" t="s">
        <v>150</v>
      </c>
      <c r="D169">
        <v>1188140</v>
      </c>
    </row>
    <row r="170" spans="1:4" x14ac:dyDescent="0.3">
      <c r="A170" t="s">
        <v>110</v>
      </c>
      <c r="B170">
        <v>2026</v>
      </c>
      <c r="C170" t="s">
        <v>150</v>
      </c>
      <c r="D170">
        <v>20974</v>
      </c>
    </row>
    <row r="171" spans="1:4" x14ac:dyDescent="0.3">
      <c r="A171" t="s">
        <v>111</v>
      </c>
      <c r="B171">
        <v>2026</v>
      </c>
      <c r="C171" t="s">
        <v>150</v>
      </c>
      <c r="D171">
        <v>103253</v>
      </c>
    </row>
    <row r="172" spans="1:4" x14ac:dyDescent="0.3">
      <c r="A172" t="s">
        <v>112</v>
      </c>
      <c r="B172">
        <v>2026</v>
      </c>
      <c r="C172" t="s">
        <v>150</v>
      </c>
      <c r="D172">
        <v>113957</v>
      </c>
    </row>
    <row r="173" spans="1:4" x14ac:dyDescent="0.3">
      <c r="A173" t="s">
        <v>113</v>
      </c>
      <c r="B173">
        <v>2026</v>
      </c>
      <c r="C173" t="s">
        <v>150</v>
      </c>
      <c r="D173">
        <v>421852</v>
      </c>
    </row>
    <row r="174" spans="1:4" x14ac:dyDescent="0.3">
      <c r="A174" t="s">
        <v>114</v>
      </c>
      <c r="B174">
        <v>2026</v>
      </c>
      <c r="C174" t="s">
        <v>150</v>
      </c>
      <c r="D174">
        <v>203119</v>
      </c>
    </row>
    <row r="175" spans="1:4" x14ac:dyDescent="0.3">
      <c r="A175" t="s">
        <v>115</v>
      </c>
      <c r="B175">
        <v>2026</v>
      </c>
      <c r="C175" t="s">
        <v>150</v>
      </c>
      <c r="D175">
        <v>143880</v>
      </c>
    </row>
    <row r="176" spans="1:4" x14ac:dyDescent="0.3">
      <c r="A176" t="s">
        <v>116</v>
      </c>
      <c r="B176">
        <v>2026</v>
      </c>
      <c r="C176" t="s">
        <v>150</v>
      </c>
      <c r="D176">
        <v>77526</v>
      </c>
    </row>
    <row r="177" spans="1:4" x14ac:dyDescent="0.3">
      <c r="A177" t="s">
        <v>117</v>
      </c>
      <c r="B177">
        <v>2026</v>
      </c>
      <c r="C177" t="s">
        <v>150</v>
      </c>
      <c r="D177">
        <v>195759</v>
      </c>
    </row>
    <row r="178" spans="1:4" x14ac:dyDescent="0.3">
      <c r="A178" t="s">
        <v>118</v>
      </c>
      <c r="B178">
        <v>2026</v>
      </c>
      <c r="C178" t="s">
        <v>150</v>
      </c>
      <c r="D178">
        <v>338197</v>
      </c>
    </row>
    <row r="179" spans="1:4" x14ac:dyDescent="0.3">
      <c r="A179" t="s">
        <v>119</v>
      </c>
      <c r="B179">
        <v>2026</v>
      </c>
      <c r="C179" t="s">
        <v>150</v>
      </c>
      <c r="D179">
        <v>223483</v>
      </c>
    </row>
    <row r="180" spans="1:4" x14ac:dyDescent="0.3">
      <c r="A180" t="s">
        <v>120</v>
      </c>
      <c r="B180">
        <v>2026</v>
      </c>
      <c r="C180" t="s">
        <v>150</v>
      </c>
      <c r="D180">
        <v>54800</v>
      </c>
    </row>
    <row r="181" spans="1:4" x14ac:dyDescent="0.3">
      <c r="A181" t="s">
        <v>121</v>
      </c>
      <c r="B181">
        <v>2026</v>
      </c>
      <c r="C181" t="s">
        <v>150</v>
      </c>
      <c r="D181">
        <v>357350</v>
      </c>
    </row>
    <row r="182" spans="1:4" x14ac:dyDescent="0.3">
      <c r="A182" t="s">
        <v>122</v>
      </c>
      <c r="B182">
        <v>2026</v>
      </c>
      <c r="C182" t="s">
        <v>150</v>
      </c>
      <c r="D182">
        <v>104788</v>
      </c>
    </row>
    <row r="183" spans="1:4" x14ac:dyDescent="0.3">
      <c r="A183" t="s">
        <v>123</v>
      </c>
      <c r="B183">
        <v>2026</v>
      </c>
      <c r="C183" t="s">
        <v>150</v>
      </c>
      <c r="D183">
        <v>260999</v>
      </c>
    </row>
    <row r="184" spans="1:4" x14ac:dyDescent="0.3">
      <c r="A184" t="s">
        <v>124</v>
      </c>
      <c r="B184">
        <v>2026</v>
      </c>
      <c r="C184" t="s">
        <v>150</v>
      </c>
      <c r="D184">
        <v>191631</v>
      </c>
    </row>
    <row r="185" spans="1:4" x14ac:dyDescent="0.3">
      <c r="A185" t="s">
        <v>125</v>
      </c>
      <c r="B185">
        <v>2026</v>
      </c>
      <c r="C185" t="s">
        <v>150</v>
      </c>
      <c r="D185">
        <v>63975</v>
      </c>
    </row>
    <row r="186" spans="1:4" x14ac:dyDescent="0.3">
      <c r="A186" t="s">
        <v>126</v>
      </c>
      <c r="B186">
        <v>2026</v>
      </c>
      <c r="C186" t="s">
        <v>150</v>
      </c>
      <c r="D186">
        <v>609544</v>
      </c>
    </row>
    <row r="187" spans="1:4" x14ac:dyDescent="0.3">
      <c r="A187" t="s">
        <v>127</v>
      </c>
      <c r="B187">
        <v>2026</v>
      </c>
      <c r="C187" t="s">
        <v>150</v>
      </c>
      <c r="D187">
        <v>37472</v>
      </c>
    </row>
    <row r="188" spans="1:4" x14ac:dyDescent="0.3">
      <c r="A188" t="s">
        <v>128</v>
      </c>
      <c r="B188">
        <v>2026</v>
      </c>
      <c r="C188" t="s">
        <v>150</v>
      </c>
      <c r="D188">
        <v>100622</v>
      </c>
    </row>
    <row r="189" spans="1:4" x14ac:dyDescent="0.3">
      <c r="A189" t="s">
        <v>129</v>
      </c>
      <c r="B189">
        <v>2026</v>
      </c>
      <c r="C189" t="s">
        <v>150</v>
      </c>
      <c r="D189">
        <v>57716</v>
      </c>
    </row>
    <row r="190" spans="1:4" x14ac:dyDescent="0.3">
      <c r="A190" t="s">
        <v>130</v>
      </c>
      <c r="B190">
        <v>2026</v>
      </c>
      <c r="C190" t="s">
        <v>150</v>
      </c>
      <c r="D190">
        <v>471801</v>
      </c>
    </row>
    <row r="191" spans="1:4" x14ac:dyDescent="0.3">
      <c r="A191" t="s">
        <v>131</v>
      </c>
      <c r="B191">
        <v>2026</v>
      </c>
      <c r="C191" t="s">
        <v>150</v>
      </c>
      <c r="D191">
        <v>80047</v>
      </c>
    </row>
    <row r="192" spans="1:4" x14ac:dyDescent="0.3">
      <c r="A192" t="s">
        <v>132</v>
      </c>
      <c r="B192">
        <v>2026</v>
      </c>
      <c r="C192" t="s">
        <v>150</v>
      </c>
      <c r="D192">
        <v>99663</v>
      </c>
    </row>
    <row r="193" spans="1:4" x14ac:dyDescent="0.3">
      <c r="A193" t="s">
        <v>133</v>
      </c>
      <c r="B193">
        <v>2026</v>
      </c>
      <c r="C193" t="s">
        <v>150</v>
      </c>
      <c r="D193">
        <v>186497</v>
      </c>
    </row>
    <row r="194" spans="1:4" x14ac:dyDescent="0.3">
      <c r="A194" t="s">
        <v>134</v>
      </c>
      <c r="B194">
        <v>2026</v>
      </c>
      <c r="C194" t="s">
        <v>150</v>
      </c>
      <c r="D194">
        <v>336058</v>
      </c>
    </row>
    <row r="195" spans="1:4" x14ac:dyDescent="0.3">
      <c r="A195" t="s">
        <v>135</v>
      </c>
      <c r="B195">
        <v>2026</v>
      </c>
      <c r="C195" t="s">
        <v>150</v>
      </c>
      <c r="D195">
        <v>179600</v>
      </c>
    </row>
    <row r="196" spans="1:4" x14ac:dyDescent="0.3">
      <c r="A196" t="s">
        <v>136</v>
      </c>
      <c r="B196">
        <v>2026</v>
      </c>
      <c r="C196" t="s">
        <v>150</v>
      </c>
      <c r="D196">
        <v>105911</v>
      </c>
    </row>
    <row r="197" spans="1:4" x14ac:dyDescent="0.3">
      <c r="A197" t="s">
        <v>137</v>
      </c>
      <c r="B197">
        <v>2026</v>
      </c>
      <c r="C197" t="s">
        <v>150</v>
      </c>
      <c r="D197">
        <v>472627</v>
      </c>
    </row>
    <row r="198" spans="1:4" x14ac:dyDescent="0.3">
      <c r="A198" t="s">
        <v>138</v>
      </c>
      <c r="B198">
        <v>2026</v>
      </c>
      <c r="C198" t="s">
        <v>150</v>
      </c>
      <c r="D198">
        <v>39991</v>
      </c>
    </row>
    <row r="199" spans="1:4" x14ac:dyDescent="0.3">
      <c r="A199" t="s">
        <v>139</v>
      </c>
      <c r="B199">
        <v>2026</v>
      </c>
      <c r="C199" t="s">
        <v>150</v>
      </c>
      <c r="D199">
        <v>387145</v>
      </c>
    </row>
    <row r="200" spans="1:4" x14ac:dyDescent="0.3">
      <c r="A200" t="s">
        <v>140</v>
      </c>
      <c r="B200">
        <v>2026</v>
      </c>
      <c r="C200" t="s">
        <v>150</v>
      </c>
      <c r="D200">
        <v>45888</v>
      </c>
    </row>
    <row r="201" spans="1:4" x14ac:dyDescent="0.3">
      <c r="A201" t="s">
        <v>141</v>
      </c>
      <c r="B201">
        <v>2026</v>
      </c>
      <c r="C201" t="s">
        <v>150</v>
      </c>
      <c r="D201">
        <v>441515</v>
      </c>
    </row>
    <row r="202" spans="1:4" x14ac:dyDescent="0.3">
      <c r="A202" t="s">
        <v>142</v>
      </c>
      <c r="B202">
        <v>2026</v>
      </c>
      <c r="C202" t="s">
        <v>150</v>
      </c>
      <c r="D202">
        <v>3277198</v>
      </c>
    </row>
    <row r="203" spans="1:4" x14ac:dyDescent="0.3">
      <c r="A203" t="s">
        <v>143</v>
      </c>
      <c r="B203">
        <v>2026</v>
      </c>
      <c r="C203" t="s">
        <v>150</v>
      </c>
      <c r="D203">
        <v>337266</v>
      </c>
    </row>
    <row r="204" spans="1:4" x14ac:dyDescent="0.3">
      <c r="A204" t="s">
        <v>144</v>
      </c>
      <c r="B204">
        <v>2026</v>
      </c>
      <c r="C204" t="s">
        <v>150</v>
      </c>
      <c r="D204">
        <v>338768</v>
      </c>
    </row>
    <row r="205" spans="1:4" x14ac:dyDescent="0.3">
      <c r="A205" t="s">
        <v>145</v>
      </c>
      <c r="B205">
        <v>2026</v>
      </c>
      <c r="C205" t="s">
        <v>150</v>
      </c>
      <c r="D205">
        <v>28968</v>
      </c>
    </row>
    <row r="206" spans="1:4" x14ac:dyDescent="0.3">
      <c r="A206" t="s">
        <v>146</v>
      </c>
      <c r="B206">
        <v>2026</v>
      </c>
      <c r="C206" t="s">
        <v>150</v>
      </c>
      <c r="D206">
        <v>269993</v>
      </c>
    </row>
    <row r="207" spans="1:4" x14ac:dyDescent="0.3">
      <c r="A207" t="s">
        <v>147</v>
      </c>
      <c r="B207">
        <v>2026</v>
      </c>
      <c r="C207" t="s">
        <v>150</v>
      </c>
      <c r="D207">
        <v>245753</v>
      </c>
    </row>
    <row r="208" spans="1:4" x14ac:dyDescent="0.3">
      <c r="A208" t="s">
        <v>148</v>
      </c>
      <c r="B208">
        <v>2026</v>
      </c>
      <c r="C208" t="s">
        <v>150</v>
      </c>
      <c r="D208">
        <v>49508</v>
      </c>
    </row>
    <row r="209" spans="1:4" x14ac:dyDescent="0.3">
      <c r="A209" t="s">
        <v>149</v>
      </c>
      <c r="B209">
        <v>2026</v>
      </c>
      <c r="C209" t="s">
        <v>150</v>
      </c>
      <c r="D209">
        <v>34514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Mcaid</vt:lpstr>
      <vt:lpstr>Mcaid Peak Baseline</vt:lpstr>
      <vt:lpstr>CHIP</vt:lpstr>
      <vt:lpstr>CHIP Peak Baseline</vt:lpstr>
      <vt:lpstr>BHP</vt:lpstr>
      <vt:lpstr>Marketplace</vt:lpstr>
      <vt:lpstr>Marketplace (2)</vt:lpstr>
      <vt:lpstr>Marketplace Feb. Effec. Enroll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Nicchitta</dc:creator>
  <cp:lastModifiedBy>Isaac Nicchitta</cp:lastModifiedBy>
  <dcterms:created xsi:type="dcterms:W3CDTF">2026-03-31T17:04:16Z</dcterms:created>
  <dcterms:modified xsi:type="dcterms:W3CDTF">2026-09-28T17:01:19Z</dcterms:modified>
</cp:coreProperties>
</file>